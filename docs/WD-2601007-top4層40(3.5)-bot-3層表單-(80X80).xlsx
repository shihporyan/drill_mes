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B72D1162-1B2A-4957-99CA-687A8C1666FC}" xr6:coauthVersionLast="45" xr6:coauthVersionMax="45" xr10:uidLastSave="{00000000-0000-0000-0000-000000000000}"/>
  <bookViews>
    <workbookView xWindow="-18405" yWindow="0" windowWidth="16845" windowHeight="14025" activeTab="3" xr2:uid="{00000000-000D-0000-FFFF-FFFF00000000}"/>
  </bookViews>
  <sheets>
    <sheet name="表頭" sheetId="1" r:id="rId1"/>
    <sheet name="top-nc" sheetId="10" r:id="rId2"/>
    <sheet name="bot-nc" sheetId="11" r:id="rId3"/>
    <sheet name="bom表" sheetId="9" r:id="rId4"/>
    <sheet name="委外單" sheetId="14" state="hidden" r:id="rId5"/>
    <sheet name="LIST" sheetId="12" r:id="rId6"/>
    <sheet name="40-3.5-20L" sheetId="16" r:id="rId7"/>
    <sheet name="70-30L" sheetId="17" r:id="rId8"/>
  </sheets>
  <definedNames>
    <definedName name="CONN.">#REF!</definedName>
    <definedName name="_xlnm.Print_Area" localSheetId="2">'bot-nc'!$A$1:$R$44</definedName>
    <definedName name="_xlnm.Print_Area" localSheetId="1">'top-nc'!$A$1:$R$47</definedName>
    <definedName name="_xlnm.Print_Titles" localSheetId="0">表頭!$1:$12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3" i="9" l="1"/>
  <c r="A14" i="9" s="1"/>
  <c r="A15" i="9" s="1"/>
  <c r="A16" i="9" s="1"/>
  <c r="A17" i="9" s="1"/>
  <c r="A18" i="9" s="1"/>
  <c r="A19" i="9" s="1"/>
  <c r="A20" i="9" s="1"/>
  <c r="A21" i="9" s="1"/>
  <c r="A22" i="9" s="1"/>
  <c r="A23" i="9" s="1"/>
  <c r="A24" i="9" s="1"/>
  <c r="A25" i="9" s="1"/>
  <c r="A26" i="9" s="1"/>
  <c r="A27" i="9" s="1"/>
  <c r="A28" i="9" s="1"/>
  <c r="A29" i="9" s="1"/>
  <c r="A30" i="9" s="1"/>
  <c r="A31" i="9" s="1"/>
  <c r="A32" i="9" s="1"/>
  <c r="A33" i="9" s="1"/>
  <c r="A43" i="9"/>
  <c r="A44" i="9"/>
  <c r="A45" i="9"/>
  <c r="A46" i="9"/>
  <c r="A47" i="9"/>
  <c r="A48" i="9"/>
  <c r="A49" i="9"/>
  <c r="A50" i="9"/>
  <c r="A51" i="9" s="1"/>
  <c r="A52" i="9" s="1"/>
  <c r="A53" i="9" s="1"/>
  <c r="A54" i="9" s="1"/>
  <c r="A55" i="9" s="1"/>
  <c r="A56" i="9" s="1"/>
  <c r="A57" i="9" s="1"/>
  <c r="A58" i="9" s="1"/>
  <c r="A59" i="9" s="1"/>
  <c r="A14" i="11"/>
  <c r="A15" i="11"/>
  <c r="A16" i="11"/>
  <c r="A17" i="11"/>
  <c r="A18" i="11"/>
  <c r="A19" i="11"/>
  <c r="A20" i="11"/>
  <c r="A21" i="11"/>
  <c r="A22" i="11" s="1"/>
  <c r="A23" i="11" s="1"/>
  <c r="A24" i="11" s="1"/>
  <c r="A25" i="11" s="1"/>
  <c r="A26" i="11" s="1"/>
  <c r="A27" i="11" s="1"/>
  <c r="A28" i="11" s="1"/>
  <c r="A29" i="11" s="1"/>
  <c r="A30" i="11" s="1"/>
  <c r="A31" i="11" s="1"/>
  <c r="A32" i="11" s="1"/>
  <c r="A33" i="11" s="1"/>
  <c r="A16" i="10"/>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15" i="10"/>
  <c r="N10" i="11" l="1"/>
  <c r="N20" i="11"/>
  <c r="N21" i="11"/>
  <c r="O10" i="10"/>
  <c r="N19" i="11" l="1"/>
  <c r="N29" i="11"/>
  <c r="N18" i="11"/>
  <c r="N17" i="11"/>
  <c r="N28" i="11"/>
  <c r="N27" i="11"/>
  <c r="N16" i="11"/>
  <c r="N26" i="11"/>
  <c r="N15" i="11"/>
  <c r="N22" i="11"/>
  <c r="N14" i="11"/>
  <c r="X5" i="17"/>
  <c r="X6" i="17" s="1"/>
  <c r="X7" i="17" s="1"/>
  <c r="X8" i="17" s="1"/>
  <c r="X9" i="17" s="1"/>
  <c r="X10" i="17" s="1"/>
  <c r="AA8" i="16"/>
  <c r="AA7" i="16"/>
  <c r="AA6" i="16"/>
  <c r="AA5" i="16"/>
  <c r="N26" i="9"/>
  <c r="E26" i="9"/>
  <c r="P30" i="10" l="1"/>
  <c r="D21" i="9" s="1"/>
  <c r="P22" i="10"/>
  <c r="P14" i="10"/>
  <c r="D20" i="9" s="1"/>
  <c r="P12" i="10"/>
  <c r="D19" i="9" s="1"/>
  <c r="O28" i="11"/>
  <c r="D48" i="9" s="1"/>
  <c r="O20" i="11"/>
  <c r="O13" i="11"/>
  <c r="D47" i="9" s="1"/>
  <c r="O12" i="11"/>
  <c r="D46" i="9" s="1"/>
  <c r="E22" i="9"/>
  <c r="E17" i="9"/>
  <c r="E16" i="9"/>
  <c r="D16" i="9"/>
  <c r="B22" i="10" a="1"/>
  <c r="B22" i="10" s="1"/>
  <c r="E43" i="9"/>
  <c r="D43" i="9"/>
  <c r="E44" i="9"/>
  <c r="B20" i="11" a="1"/>
  <c r="B20" i="11" s="1"/>
  <c r="B12" i="11" a="1"/>
  <c r="B12" i="11" s="1"/>
  <c r="B12" i="10" l="1" a="1"/>
  <c r="B12" i="10" s="1"/>
  <c r="I46" i="9"/>
  <c r="F46" i="9"/>
  <c r="B28" i="11" a="1"/>
  <c r="B13" i="11" a="1"/>
  <c r="B30" i="10" a="1"/>
  <c r="B14" i="10" a="1"/>
  <c r="F19" i="9" l="1"/>
  <c r="I19" i="9"/>
  <c r="B30" i="10"/>
  <c r="H21" i="9"/>
  <c r="F21" i="9"/>
  <c r="B14" i="10"/>
  <c r="H20" i="9"/>
  <c r="F20" i="9"/>
  <c r="B13" i="11"/>
  <c r="F47" i="9"/>
  <c r="H47" i="9"/>
  <c r="B28" i="11"/>
  <c r="H48" i="9"/>
  <c r="F48" i="9"/>
  <c r="N17" i="9" l="1"/>
  <c r="A36" i="9" l="1"/>
  <c r="A37" i="9" s="1"/>
  <c r="A38" i="9" s="1"/>
  <c r="A39" i="9" s="1"/>
  <c r="A40" i="9" s="1"/>
  <c r="A41" i="9" s="1"/>
  <c r="A42" i="9" s="1"/>
  <c r="A8" i="9"/>
  <c r="A9" i="9" s="1"/>
  <c r="A10" i="9" s="1"/>
  <c r="A11" i="9" s="1"/>
  <c r="A12" i="9" s="1"/>
  <c r="A11" i="10"/>
  <c r="O11" i="10" s="1"/>
  <c r="A11" i="11"/>
  <c r="A12" i="11" l="1"/>
  <c r="N12" i="11" s="1"/>
  <c r="N11" i="11"/>
  <c r="A13" i="11"/>
  <c r="N13" i="11" s="1"/>
  <c r="A12" i="10"/>
  <c r="I39" i="9"/>
  <c r="I40" i="9" s="1"/>
  <c r="I41" i="9" s="1"/>
  <c r="G39" i="9"/>
  <c r="G40" i="9" s="1"/>
  <c r="G41" i="9" s="1"/>
  <c r="G16" i="9"/>
  <c r="I11" i="9"/>
  <c r="I12" i="9" s="1"/>
  <c r="I13" i="9" s="1"/>
  <c r="I14" i="9" s="1"/>
  <c r="G11" i="9"/>
  <c r="G12" i="9" s="1"/>
  <c r="G13" i="9" s="1"/>
  <c r="G14" i="9" s="1"/>
  <c r="O12" i="10" l="1"/>
  <c r="A13" i="10"/>
  <c r="N24" i="11"/>
  <c r="A14" i="10" l="1"/>
  <c r="O13" i="10"/>
  <c r="N25" i="11"/>
  <c r="O14" i="10" l="1"/>
  <c r="N47" i="9"/>
  <c r="N20" i="9"/>
  <c r="N21" i="9"/>
  <c r="E8" i="14"/>
  <c r="N25" i="9"/>
  <c r="E25" i="9"/>
  <c r="K37" i="10"/>
  <c r="I8" i="9"/>
  <c r="G36" i="9"/>
  <c r="I37" i="9"/>
  <c r="G37" i="9"/>
  <c r="G8" i="9"/>
  <c r="N22" i="9"/>
  <c r="E64" i="9"/>
  <c r="G9" i="9"/>
  <c r="N49" i="9"/>
  <c r="J8" i="14"/>
  <c r="H8" i="14"/>
  <c r="E6" i="14"/>
  <c r="N48" i="9"/>
  <c r="B4" i="1"/>
  <c r="C3" i="11" s="1"/>
  <c r="E15" i="9"/>
  <c r="D15" i="9"/>
  <c r="D12" i="9"/>
  <c r="E42" i="9"/>
  <c r="D42" i="9"/>
  <c r="E13" i="9"/>
  <c r="E12" i="9"/>
  <c r="D4" i="14"/>
  <c r="J6" i="14"/>
  <c r="H6" i="14"/>
  <c r="F3" i="14"/>
  <c r="J2" i="9"/>
  <c r="I2" i="1"/>
  <c r="C2" i="11" s="1"/>
  <c r="H4" i="1"/>
  <c r="J3" i="11" s="1"/>
  <c r="K3" i="1"/>
  <c r="B3" i="1"/>
  <c r="C2" i="9" s="1"/>
  <c r="H3" i="1"/>
  <c r="E3" i="1"/>
  <c r="J4" i="11"/>
  <c r="J33" i="11"/>
  <c r="I43" i="9"/>
  <c r="G43" i="9"/>
  <c r="E41" i="9"/>
  <c r="E40" i="9"/>
  <c r="E39" i="9"/>
  <c r="E38" i="9"/>
  <c r="E37" i="9"/>
  <c r="E36" i="9"/>
  <c r="E35" i="9"/>
  <c r="I16" i="9"/>
  <c r="E14" i="9"/>
  <c r="E11" i="9"/>
  <c r="E10" i="9"/>
  <c r="E9" i="9"/>
  <c r="E8" i="9"/>
  <c r="E7" i="9"/>
  <c r="N52" i="9"/>
  <c r="E52" i="9"/>
  <c r="E49" i="9"/>
  <c r="E65" i="9" s="1"/>
  <c r="F51" i="9"/>
  <c r="N46" i="9"/>
  <c r="N45" i="9"/>
  <c r="N44" i="9"/>
  <c r="D41" i="9"/>
  <c r="D40" i="9"/>
  <c r="D39" i="9"/>
  <c r="D38" i="9"/>
  <c r="D37" i="9"/>
  <c r="D36" i="9"/>
  <c r="D35" i="9"/>
  <c r="J2" i="11"/>
  <c r="K4" i="10"/>
  <c r="K2" i="10"/>
  <c r="N19" i="9"/>
  <c r="N18" i="9"/>
  <c r="F24" i="9"/>
  <c r="D14" i="9"/>
  <c r="D13" i="9"/>
  <c r="D11" i="9"/>
  <c r="D10" i="9"/>
  <c r="D9" i="9"/>
  <c r="D8" i="9"/>
  <c r="D7" i="9"/>
  <c r="K17" i="1"/>
  <c r="I17" i="1"/>
  <c r="E17" i="1"/>
  <c r="C17" i="1"/>
  <c r="I36" i="9"/>
  <c r="I9" i="9"/>
  <c r="F4" i="14" l="1"/>
  <c r="C2" i="10"/>
  <c r="C3" i="9"/>
  <c r="K1" i="10"/>
  <c r="J1" i="11"/>
  <c r="K3" i="10"/>
  <c r="C3" i="10"/>
  <c r="O15" i="10" l="1"/>
  <c r="O16" i="10" l="1"/>
  <c r="O17" i="10" l="1"/>
  <c r="N23" i="11"/>
  <c r="O18" i="10" l="1"/>
  <c r="O19" i="10" l="1"/>
  <c r="O20" i="10" l="1"/>
  <c r="O21" i="10" l="1"/>
  <c r="O22" i="10" l="1"/>
  <c r="O23" i="10" l="1"/>
  <c r="O24" i="10" l="1"/>
  <c r="O25" i="10" l="1"/>
  <c r="O26" i="10" l="1"/>
  <c r="O27" i="10" l="1"/>
  <c r="O28" i="10" l="1"/>
  <c r="O29" i="10" l="1"/>
  <c r="O30"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<sst xmlns="http://schemas.openxmlformats.org/spreadsheetml/2006/main" count="1390" uniqueCount="341">
  <si>
    <t>治具製作流程單</t>
    <phoneticPr fontId="11" type="noConversion"/>
  </si>
  <si>
    <t>訂單日</t>
    <phoneticPr fontId="11" type="noConversion"/>
  </si>
  <si>
    <t>完成日</t>
    <phoneticPr fontId="11" type="noConversion"/>
  </si>
  <si>
    <t>送達日</t>
    <phoneticPr fontId="11" type="noConversion"/>
  </si>
  <si>
    <t>業   務</t>
    <phoneticPr fontId="11" type="noConversion"/>
  </si>
  <si>
    <t>備   註</t>
    <phoneticPr fontId="11" type="noConversion"/>
  </si>
  <si>
    <t>料   號</t>
    <phoneticPr fontId="11" type="noConversion"/>
  </si>
  <si>
    <t>工   單</t>
    <phoneticPr fontId="11" type="noConversion"/>
  </si>
  <si>
    <t>鑽孔(NC)</t>
    <phoneticPr fontId="11" type="noConversion"/>
  </si>
  <si>
    <t>NC DATA</t>
    <phoneticPr fontId="11" type="noConversion"/>
  </si>
  <si>
    <t>電極板</t>
    <phoneticPr fontId="11" type="noConversion"/>
  </si>
  <si>
    <t>簽           名</t>
    <phoneticPr fontId="11" type="noConversion"/>
  </si>
  <si>
    <t>UV</t>
    <phoneticPr fontId="11" type="noConversion"/>
  </si>
  <si>
    <t>CNC</t>
    <phoneticPr fontId="11" type="noConversion"/>
  </si>
  <si>
    <t>CNC DATA</t>
    <phoneticPr fontId="11" type="noConversion"/>
  </si>
  <si>
    <t>UV成型</t>
    <phoneticPr fontId="11" type="noConversion"/>
  </si>
  <si>
    <t>電極板成型</t>
    <phoneticPr fontId="11" type="noConversion"/>
  </si>
  <si>
    <t>電極板研磨</t>
    <phoneticPr fontId="11" type="noConversion"/>
  </si>
  <si>
    <t>治具</t>
    <phoneticPr fontId="11" type="noConversion"/>
  </si>
  <si>
    <t>上</t>
    <phoneticPr fontId="11" type="noConversion"/>
  </si>
  <si>
    <t>下</t>
    <phoneticPr fontId="11" type="noConversion"/>
  </si>
  <si>
    <t>組裝</t>
    <phoneticPr fontId="11" type="noConversion"/>
  </si>
  <si>
    <t>電鍍方式</t>
    <phoneticPr fontId="11" type="noConversion"/>
  </si>
  <si>
    <t>電鍍</t>
    <phoneticPr fontId="11" type="noConversion"/>
  </si>
  <si>
    <t>測試</t>
    <phoneticPr fontId="11" type="noConversion"/>
  </si>
  <si>
    <t>到站時間</t>
    <phoneticPr fontId="11" type="noConversion"/>
  </si>
  <si>
    <t>完成時間</t>
    <phoneticPr fontId="11" type="noConversion"/>
  </si>
  <si>
    <t>機   種</t>
    <phoneticPr fontId="11" type="noConversion"/>
  </si>
  <si>
    <t>工程設計</t>
    <phoneticPr fontId="11" type="noConversion"/>
  </si>
  <si>
    <t>針型-pin數</t>
    <phoneticPr fontId="11" type="noConversion"/>
  </si>
  <si>
    <t>線徑</t>
    <phoneticPr fontId="11" type="noConversion"/>
  </si>
  <si>
    <t>組裝</t>
    <phoneticPr fontId="11" type="noConversion"/>
  </si>
  <si>
    <t>Pin Find</t>
    <phoneticPr fontId="11" type="noConversion"/>
  </si>
  <si>
    <t>點膠</t>
    <phoneticPr fontId="11" type="noConversion"/>
  </si>
  <si>
    <t>電極板配線</t>
  </si>
  <si>
    <t>UV插針</t>
  </si>
  <si>
    <t>USB NO：</t>
  </si>
  <si>
    <t>鎳鎢、金、鈀</t>
    <phoneticPr fontId="11" type="noConversion"/>
  </si>
  <si>
    <t>上</t>
    <phoneticPr fontId="11" type="noConversion"/>
  </si>
  <si>
    <t>客戶名稱：</t>
    <phoneticPr fontId="15" type="noConversion"/>
  </si>
  <si>
    <t xml:space="preserve"> pin</t>
    <phoneticPr fontId="11" type="noConversion"/>
  </si>
  <si>
    <t>ψ</t>
    <phoneticPr fontId="11" type="noConversion"/>
  </si>
  <si>
    <t>上：</t>
    <phoneticPr fontId="11" type="noConversion"/>
  </si>
  <si>
    <t xml:space="preserve">下： </t>
    <phoneticPr fontId="11" type="noConversion"/>
  </si>
  <si>
    <t>簽        名</t>
    <phoneticPr fontId="11" type="noConversion"/>
  </si>
  <si>
    <t>焊連
接器</t>
    <phoneticPr fontId="11" type="noConversion"/>
  </si>
  <si>
    <t>Block
&amp;附件</t>
    <phoneticPr fontId="11" type="noConversion"/>
  </si>
  <si>
    <t>睿智精密股份有限公司     BOM表</t>
    <phoneticPr fontId="11" type="noConversion"/>
  </si>
  <si>
    <t xml:space="preserve">工  單  號: </t>
    <phoneticPr fontId="11" type="noConversion"/>
  </si>
  <si>
    <t xml:space="preserve">客戶料號: </t>
    <phoneticPr fontId="11" type="noConversion"/>
  </si>
  <si>
    <t>BOM表編號：</t>
    <phoneticPr fontId="11" type="noConversion"/>
  </si>
  <si>
    <t>項目</t>
    <phoneticPr fontId="11" type="noConversion"/>
  </si>
  <si>
    <t>料號</t>
    <phoneticPr fontId="11" type="noConversion"/>
  </si>
  <si>
    <t>品名</t>
    <phoneticPr fontId="11" type="noConversion"/>
  </si>
  <si>
    <t>加工方式</t>
    <phoneticPr fontId="11" type="noConversion"/>
  </si>
  <si>
    <t>上治具</t>
    <phoneticPr fontId="11" type="noConversion"/>
  </si>
  <si>
    <t>1</t>
    <phoneticPr fontId="11" type="noConversion"/>
  </si>
  <si>
    <t>NC、CNC</t>
    <phoneticPr fontId="11" type="noConversion"/>
  </si>
  <si>
    <t>2</t>
    <phoneticPr fontId="11" type="noConversion"/>
  </si>
  <si>
    <t>襯套</t>
    <phoneticPr fontId="11" type="noConversion"/>
  </si>
  <si>
    <t>NC</t>
    <phoneticPr fontId="11" type="noConversion"/>
  </si>
  <si>
    <t>線針</t>
    <phoneticPr fontId="11" type="noConversion"/>
  </si>
  <si>
    <t>熱縮套管</t>
    <phoneticPr fontId="11" type="noConversion"/>
  </si>
  <si>
    <t>漆包線</t>
    <phoneticPr fontId="11" type="noConversion"/>
  </si>
  <si>
    <t>針盤</t>
    <phoneticPr fontId="11" type="noConversion"/>
  </si>
  <si>
    <t>CNC、組裝</t>
    <phoneticPr fontId="11" type="noConversion"/>
  </si>
  <si>
    <t>下治具</t>
    <phoneticPr fontId="11" type="noConversion"/>
  </si>
  <si>
    <t>組合</t>
    <phoneticPr fontId="11" type="noConversion"/>
  </si>
  <si>
    <t>保管用支柱旋鈕</t>
    <phoneticPr fontId="11" type="noConversion"/>
  </si>
  <si>
    <t>備品針</t>
    <phoneticPr fontId="11" type="noConversion"/>
  </si>
  <si>
    <t>ks</t>
    <phoneticPr fontId="11" type="noConversion"/>
  </si>
  <si>
    <t>NC  DATＡ  管理表</t>
    <rPh sb="8" eb="10">
      <t>カンリ</t>
    </rPh>
    <rPh sb="10" eb="11">
      <t>ヒョウ</t>
    </rPh>
    <phoneticPr fontId="19"/>
  </si>
  <si>
    <t xml:space="preserve">
</t>
  </si>
  <si>
    <t>客戶名稱</t>
  </si>
  <si>
    <t>製  作  日  期</t>
    <rPh sb="0" eb="2">
      <t>サクセイ</t>
    </rPh>
    <rPh sb="2" eb="3">
      <t>ヒ</t>
    </rPh>
    <phoneticPr fontId="19"/>
  </si>
  <si>
    <t>料       號</t>
    <rPh sb="0" eb="2">
      <t>ヒンメイ</t>
    </rPh>
    <phoneticPr fontId="19"/>
  </si>
  <si>
    <t>治  具  型  式</t>
    <rPh sb="0" eb="1">
      <t>ジ</t>
    </rPh>
    <rPh sb="1" eb="2">
      <t>グ</t>
    </rPh>
    <phoneticPr fontId="19"/>
  </si>
  <si>
    <t>設  計  者</t>
  </si>
  <si>
    <t>KS</t>
  </si>
  <si>
    <t>鑽孔檔案名稱</t>
    <rPh sb="0" eb="6">
      <t>メイ</t>
    </rPh>
    <phoneticPr fontId="19"/>
  </si>
  <si>
    <t>版       本</t>
    <rPh sb="0" eb="2">
      <t>サクセイナイヨウ</t>
    </rPh>
    <phoneticPr fontId="19"/>
  </si>
  <si>
    <t>USB NO.</t>
  </si>
  <si>
    <t>板材</t>
    <rPh sb="0" eb="1">
      <t>イタ</t>
    </rPh>
    <rPh sb="1" eb="2">
      <t>アツ</t>
    </rPh>
    <phoneticPr fontId="19"/>
  </si>
  <si>
    <t>R8220</t>
  </si>
  <si>
    <t>内容</t>
    <rPh sb="0" eb="2">
      <t>ナイヨウ</t>
    </rPh>
    <phoneticPr fontId="19"/>
  </si>
  <si>
    <t>數量</t>
    <rPh sb="0" eb="2">
      <t>スウ</t>
    </rPh>
    <phoneticPr fontId="19"/>
  </si>
  <si>
    <t>板厚</t>
    <rPh sb="0" eb="1">
      <t>イタ</t>
    </rPh>
    <rPh sb="1" eb="2">
      <t>アツ</t>
    </rPh>
    <phoneticPr fontId="19"/>
  </si>
  <si>
    <t>O NO</t>
  </si>
  <si>
    <t>A</t>
  </si>
  <si>
    <t>B</t>
  </si>
  <si>
    <t>C</t>
  </si>
  <si>
    <t>D</t>
  </si>
  <si>
    <t>E</t>
  </si>
  <si>
    <t>F</t>
  </si>
  <si>
    <t>G</t>
  </si>
  <si>
    <t>T NO</t>
  </si>
  <si>
    <t>H</t>
  </si>
  <si>
    <t>1.0深0.5</t>
  </si>
  <si>
    <t>―</t>
  </si>
  <si>
    <t>ABC原點</t>
    <rPh sb="3" eb="5">
      <t>ゲンテン</t>
    </rPh>
    <phoneticPr fontId="19"/>
  </si>
  <si>
    <t>○</t>
  </si>
  <si>
    <t>測量用</t>
    <rPh sb="0" eb="3">
      <t>ソクテイヨウ</t>
    </rPh>
    <phoneticPr fontId="19"/>
  </si>
  <si>
    <t>M1.7
裏沈頭</t>
    <rPh sb="5" eb="6">
      <t>ウラ</t>
    </rPh>
    <phoneticPr fontId="19"/>
  </si>
  <si>
    <t>2.0深0.4
 /1.2</t>
  </si>
  <si>
    <t>1.2 CCD</t>
    <rPh sb="0" eb="1">
      <t>ウチ</t>
    </rPh>
    <phoneticPr fontId="19"/>
  </si>
  <si>
    <t>C判別</t>
  </si>
  <si>
    <t>D-G原點</t>
    <rPh sb="0" eb="5">
      <t>ゲンテン</t>
    </rPh>
    <phoneticPr fontId="19"/>
  </si>
  <si>
    <t>0.5深0.5</t>
    <rPh sb="4" eb="5">
      <t>フカ</t>
    </rPh>
    <phoneticPr fontId="19"/>
  </si>
  <si>
    <t>△Mark</t>
  </si>
  <si>
    <t>D-G定位PIN</t>
    <rPh sb="0" eb="1">
      <t>ソト</t>
    </rPh>
    <phoneticPr fontId="19"/>
  </si>
  <si>
    <t>2.0深4.5
/1.95</t>
  </si>
  <si>
    <t>UV定位PIN</t>
    <rPh sb="0" eb="1">
      <t>ソト</t>
    </rPh>
    <phoneticPr fontId="19"/>
  </si>
  <si>
    <t>D-F螺絲</t>
    <rPh sb="0" eb="5">
      <t>トメ</t>
    </rPh>
    <phoneticPr fontId="19"/>
  </si>
  <si>
    <t>G-H螺絲</t>
    <rPh sb="0" eb="5">
      <t>トメ</t>
    </rPh>
    <phoneticPr fontId="19"/>
  </si>
  <si>
    <t>UV螺絲襯套</t>
    <rPh sb="3" eb="4">
      <t>トメ</t>
    </rPh>
    <phoneticPr fontId="19"/>
  </si>
  <si>
    <t>3.0深0.5</t>
  </si>
  <si>
    <t>H原點</t>
    <rPh sb="1" eb="3">
      <t>ゲンテン</t>
    </rPh>
    <phoneticPr fontId="19"/>
  </si>
  <si>
    <t>M3沈頭</t>
  </si>
  <si>
    <t>H螺絲</t>
    <rPh sb="0" eb="3">
      <t>ト</t>
    </rPh>
    <phoneticPr fontId="19"/>
  </si>
  <si>
    <t>H3.0定位PIN</t>
    <rPh sb="4" eb="5">
      <t>キ</t>
    </rPh>
    <phoneticPr fontId="19"/>
  </si>
  <si>
    <t>機台NO</t>
  </si>
  <si>
    <t>作業者</t>
  </si>
  <si>
    <t>Min  Pitch</t>
  </si>
  <si>
    <t>ABC</t>
  </si>
  <si>
    <t>FG</t>
  </si>
  <si>
    <t xml:space="preserve">表單編號Q-QP-802-06  版本：A   </t>
  </si>
  <si>
    <t>○</t>
    <phoneticPr fontId="11" type="noConversion"/>
  </si>
  <si>
    <t>SET</t>
    <phoneticPr fontId="11" type="noConversion"/>
  </si>
  <si>
    <t>x</t>
    <phoneticPr fontId="11" type="noConversion"/>
  </si>
  <si>
    <t>板材</t>
  </si>
  <si>
    <t>X:</t>
    <phoneticPr fontId="11" type="noConversion"/>
  </si>
  <si>
    <t>鑽孔用尺寸</t>
    <phoneticPr fontId="11" type="noConversion"/>
  </si>
  <si>
    <t>成型尺寸</t>
    <phoneticPr fontId="11" type="noConversion"/>
  </si>
  <si>
    <t>T</t>
    <phoneticPr fontId="11" type="noConversion"/>
  </si>
  <si>
    <t>A</t>
    <phoneticPr fontId="11" type="noConversion"/>
  </si>
  <si>
    <t>B</t>
    <phoneticPr fontId="11" type="noConversion"/>
  </si>
  <si>
    <t>C</t>
    <phoneticPr fontId="11" type="noConversion"/>
  </si>
  <si>
    <t>D</t>
    <phoneticPr fontId="11" type="noConversion"/>
  </si>
  <si>
    <t>E</t>
    <phoneticPr fontId="11" type="noConversion"/>
  </si>
  <si>
    <t>F</t>
    <phoneticPr fontId="11" type="noConversion"/>
  </si>
  <si>
    <t>G</t>
    <phoneticPr fontId="11" type="noConversion"/>
  </si>
  <si>
    <t>H</t>
    <phoneticPr fontId="11" type="noConversion"/>
  </si>
  <si>
    <t>L=</t>
  </si>
  <si>
    <t>mm</t>
    <phoneticPr fontId="11" type="noConversion"/>
  </si>
  <si>
    <t>F34,ψ1.0 （切10mm）</t>
    <phoneticPr fontId="11" type="noConversion"/>
  </si>
  <si>
    <t xml:space="preserve"> L=600mm</t>
    <phoneticPr fontId="11" type="noConversion"/>
  </si>
  <si>
    <t>數量</t>
  </si>
  <si>
    <t>1組</t>
    <phoneticPr fontId="11" type="noConversion"/>
  </si>
  <si>
    <t>上治具</t>
    <phoneticPr fontId="11" type="noConversion"/>
  </si>
  <si>
    <t>(線φ</t>
    <rPh sb="1" eb="2">
      <t>セン</t>
    </rPh>
    <phoneticPr fontId="19"/>
  </si>
  <si>
    <t>）</t>
    <phoneticPr fontId="11" type="noConversion"/>
  </si>
  <si>
    <t>下治具</t>
    <phoneticPr fontId="11" type="noConversion"/>
  </si>
  <si>
    <t>陳慧婷</t>
    <phoneticPr fontId="11" type="noConversion"/>
  </si>
  <si>
    <t xml:space="preserve">TOP-AF Plate、TOP-G Plate、BOT-AF Plate、BOT-G Plate、TOP &amp; BOT-H Plate、上治具組裝圖、下治具組裝圖、手檔板、GATS線蓋（後 )					
						</t>
    <phoneticPr fontId="11" type="noConversion"/>
  </si>
  <si>
    <t>M1.7沈頭</t>
    <phoneticPr fontId="11" type="noConversion"/>
  </si>
  <si>
    <t>M1.7攻牙</t>
    <phoneticPr fontId="11" type="noConversion"/>
  </si>
  <si>
    <t>R8220</t>
    <phoneticPr fontId="11" type="noConversion"/>
  </si>
  <si>
    <t>GATS-40</t>
    <phoneticPr fontId="11" type="noConversion"/>
  </si>
  <si>
    <t>GATS-70</t>
    <phoneticPr fontId="11" type="noConversion"/>
  </si>
  <si>
    <t xml:space="preserve">
</t>
    <phoneticPr fontId="11" type="noConversion"/>
  </si>
  <si>
    <t>40/50針型  F板須挖
火花逃孔0.04~0.05mm</t>
    <phoneticPr fontId="11" type="noConversion"/>
  </si>
  <si>
    <t>70N</t>
    <phoneticPr fontId="11" type="noConversion"/>
  </si>
  <si>
    <t>ABC70</t>
    <phoneticPr fontId="11" type="noConversion"/>
  </si>
  <si>
    <t>D70</t>
    <phoneticPr fontId="11" type="noConversion"/>
  </si>
  <si>
    <t>E70</t>
    <phoneticPr fontId="11" type="noConversion"/>
  </si>
  <si>
    <t>F,G70</t>
    <phoneticPr fontId="11" type="noConversion"/>
  </si>
  <si>
    <t>委外加工單</t>
    <phoneticPr fontId="11" type="noConversion"/>
  </si>
  <si>
    <t>客戶名稱：</t>
    <phoneticPr fontId="11" type="noConversion"/>
  </si>
  <si>
    <t>供應商：正軒</t>
    <phoneticPr fontId="11" type="noConversion"/>
  </si>
  <si>
    <t>發包日期：</t>
    <phoneticPr fontId="11" type="noConversion"/>
  </si>
  <si>
    <t>工單號：</t>
    <phoneticPr fontId="11" type="noConversion"/>
  </si>
  <si>
    <t>加工物件名稱</t>
    <phoneticPr fontId="11" type="noConversion"/>
  </si>
  <si>
    <t>數量</t>
    <phoneticPr fontId="11" type="noConversion"/>
  </si>
  <si>
    <t>委托加工內容
(有無G支柱)</t>
    <phoneticPr fontId="11" type="noConversion"/>
  </si>
  <si>
    <t>完成日期</t>
    <phoneticPr fontId="11" type="noConversion"/>
  </si>
  <si>
    <t>採購確認
(有無透明片)
(100*100)</t>
    <phoneticPr fontId="11" type="noConversion"/>
  </si>
  <si>
    <t>簽收者</t>
    <phoneticPr fontId="11" type="noConversion"/>
  </si>
  <si>
    <t>規格(城堡大小)</t>
    <phoneticPr fontId="11" type="noConversion"/>
  </si>
  <si>
    <t>料號工單</t>
    <phoneticPr fontId="11" type="noConversion"/>
  </si>
  <si>
    <t>料號單價</t>
    <phoneticPr fontId="11" type="noConversion"/>
  </si>
  <si>
    <t>X</t>
    <phoneticPr fontId="11" type="noConversion"/>
  </si>
  <si>
    <t>主管核準：</t>
    <phoneticPr fontId="11" type="noConversion"/>
  </si>
  <si>
    <t>製單者：</t>
    <phoneticPr fontId="11" type="noConversion"/>
  </si>
  <si>
    <t>KS</t>
    <phoneticPr fontId="11" type="noConversion"/>
  </si>
  <si>
    <t xml:space="preserve">表單編號Q-QP-802-07  版次：A   </t>
    <phoneticPr fontId="11" type="noConversion"/>
  </si>
  <si>
    <t>E2</t>
    <phoneticPr fontId="11" type="noConversion"/>
  </si>
  <si>
    <t>FR4</t>
  </si>
  <si>
    <t>G1</t>
  </si>
  <si>
    <t>G1</t>
    <phoneticPr fontId="11" type="noConversion"/>
  </si>
  <si>
    <t>E2判別</t>
  </si>
  <si>
    <t>E2判別</t>
    <phoneticPr fontId="11" type="noConversion"/>
  </si>
  <si>
    <t>AB原點</t>
  </si>
  <si>
    <t>量測1.0</t>
  </si>
  <si>
    <t>1.2CCD</t>
  </si>
  <si>
    <t>DG原點</t>
  </si>
  <si>
    <t>MARK</t>
  </si>
  <si>
    <t>DG定位PIN</t>
  </si>
  <si>
    <t>UV定位PIN</t>
  </si>
  <si>
    <t>DF螺絲</t>
  </si>
  <si>
    <t>GH螺絲</t>
  </si>
  <si>
    <t>H原點</t>
  </si>
  <si>
    <t>H螺絲</t>
  </si>
  <si>
    <t>H定位PIN3.0</t>
  </si>
  <si>
    <r>
      <t xml:space="preserve">○
</t>
    </r>
    <r>
      <rPr>
        <b/>
        <sz val="6"/>
        <color indexed="10"/>
        <rFont val="Gulim"/>
        <family val="2"/>
        <charset val="129"/>
      </rPr>
      <t>φ</t>
    </r>
    <r>
      <rPr>
        <b/>
        <sz val="6"/>
        <color indexed="10"/>
        <rFont val="新細明體"/>
        <family val="1"/>
        <charset val="136"/>
      </rPr>
      <t>1.5</t>
    </r>
    <r>
      <rPr>
        <b/>
        <sz val="6"/>
        <color indexed="10"/>
        <rFont val="新細明體"/>
        <family val="1"/>
        <charset val="136"/>
      </rPr>
      <t>裏挖槽</t>
    </r>
    <rPh sb="6" eb="7">
      <t>ウラアリ</t>
    </rPh>
    <phoneticPr fontId="19"/>
  </si>
  <si>
    <t>ABC原點</t>
  </si>
  <si>
    <t>測量用</t>
  </si>
  <si>
    <t>1.2 CCD</t>
  </si>
  <si>
    <t>D-G定位PIN</t>
  </si>
  <si>
    <t>D-F螺絲</t>
  </si>
  <si>
    <t>G-H螺絲</t>
  </si>
  <si>
    <t>UV螺絲襯套</t>
  </si>
  <si>
    <t>底板規格</t>
    <phoneticPr fontId="11" type="noConversion"/>
  </si>
  <si>
    <t>0.5深0.5</t>
  </si>
  <si>
    <t>0.5深0.5</t>
    <phoneticPr fontId="11" type="noConversion"/>
  </si>
  <si>
    <t>mm</t>
  </si>
  <si>
    <t>黑電木</t>
    <phoneticPr fontId="11" type="noConversion"/>
  </si>
  <si>
    <t>M3襯套</t>
    <phoneticPr fontId="11" type="noConversion"/>
  </si>
  <si>
    <t>―</t>
    <phoneticPr fontId="11" type="noConversion"/>
  </si>
  <si>
    <t>CNC、組裝</t>
  </si>
  <si>
    <t>1組</t>
  </si>
  <si>
    <t xml:space="preserve">GATS線蓋(後)塑膠-無鎖附 </t>
  </si>
  <si>
    <t>奇美耐衝擊訂製</t>
  </si>
  <si>
    <t>GATS_透明壓克力保護蓋(PS塑膠)</t>
  </si>
  <si>
    <t xml:space="preserve"> 100*100</t>
  </si>
  <si>
    <t>GATS城堡</t>
    <phoneticPr fontId="11" type="noConversion"/>
  </si>
  <si>
    <t>GATS CCD對位PIN</t>
    <phoneticPr fontId="11" type="noConversion"/>
  </si>
  <si>
    <t>CS97055P0-A05(粗紋)</t>
  </si>
  <si>
    <t>GATS保管支柱</t>
    <phoneticPr fontId="11" type="noConversion"/>
  </si>
  <si>
    <t xml:space="preserve"> ψ10  L=187</t>
    <phoneticPr fontId="11" type="noConversion"/>
  </si>
  <si>
    <t>直花旋鈕 M4 HK20M4</t>
    <phoneticPr fontId="11" type="noConversion"/>
  </si>
  <si>
    <t>製作</t>
  </si>
  <si>
    <t>D40</t>
    <phoneticPr fontId="11" type="noConversion"/>
  </si>
  <si>
    <t>E40</t>
    <phoneticPr fontId="11" type="noConversion"/>
  </si>
  <si>
    <t>E2-40</t>
    <phoneticPr fontId="11" type="noConversion"/>
  </si>
  <si>
    <t>F,G40</t>
    <phoneticPr fontId="11" type="noConversion"/>
  </si>
  <si>
    <t>SCM8000</t>
    <phoneticPr fontId="11" type="noConversion"/>
  </si>
  <si>
    <t>製作</t>
    <phoneticPr fontId="11" type="noConversion"/>
  </si>
  <si>
    <r>
      <rPr>
        <sz val="12"/>
        <color indexed="10"/>
        <rFont val="Calibri"/>
        <family val="2"/>
        <charset val="161"/>
      </rPr>
      <t>ψ</t>
    </r>
    <r>
      <rPr>
        <sz val="12"/>
        <color indexed="10"/>
        <rFont val="新細明體"/>
        <family val="1"/>
        <charset val="136"/>
      </rPr>
      <t xml:space="preserve"> </t>
    </r>
    <phoneticPr fontId="11" type="noConversion"/>
  </si>
  <si>
    <t>H尺寸</t>
    <phoneticPr fontId="11" type="noConversion"/>
  </si>
  <si>
    <t>CD支柱-3.0</t>
    <rPh sb="1" eb="2">
      <t>トメ</t>
    </rPh>
    <phoneticPr fontId="19"/>
  </si>
  <si>
    <t>不鏽鋼灣型手E-40100-9</t>
    <phoneticPr fontId="11" type="noConversion"/>
  </si>
  <si>
    <t>SPC-888-100-M4  H47</t>
    <phoneticPr fontId="11" type="noConversion"/>
  </si>
  <si>
    <t>E2</t>
  </si>
  <si>
    <t>D-g原點</t>
  </si>
  <si>
    <t>透明壓克力5T*150*250mm</t>
  </si>
  <si>
    <t>6.0深1.5/
3.2</t>
  </si>
  <si>
    <t>W1000</t>
    <phoneticPr fontId="11" type="noConversion"/>
  </si>
  <si>
    <r>
      <t xml:space="preserve">"1.備品針各10支     2.附上下治具AB&amp;FG墊片75、50um、25um  各2pcs 
</t>
    </r>
    <r>
      <rPr>
        <b/>
        <sz val="12"/>
        <color rgb="FFFF0000"/>
        <rFont val="新細明體"/>
        <family val="1"/>
        <charset val="136"/>
      </rPr>
      <t xml:space="preserve">
</t>
    </r>
    <phoneticPr fontId="11" type="noConversion"/>
  </si>
  <si>
    <t>0.06</t>
    <phoneticPr fontId="11" type="noConversion"/>
  </si>
  <si>
    <t>0.12</t>
    <phoneticPr fontId="11" type="noConversion"/>
  </si>
  <si>
    <t>0.3深0.07</t>
    <phoneticPr fontId="11" type="noConversion"/>
  </si>
  <si>
    <t>G支柱-3.5</t>
    <rPh sb="1" eb="2">
      <t>トメ</t>
    </rPh>
    <phoneticPr fontId="19"/>
  </si>
  <si>
    <t>M1.7沈頭</t>
    <rPh sb="5" eb="6">
      <t>ウラ</t>
    </rPh>
    <phoneticPr fontId="19"/>
  </si>
  <si>
    <t>A板針點請加深0.07</t>
  </si>
  <si>
    <t>A板工具孔加深0.07mm</t>
    <phoneticPr fontId="11" type="noConversion"/>
  </si>
  <si>
    <t>G支柱-3.5</t>
  </si>
  <si>
    <t>H3.0定位PIN</t>
  </si>
  <si>
    <t>TOP-I板</t>
    <phoneticPr fontId="11" type="noConversion"/>
  </si>
  <si>
    <t>BOT-I板</t>
    <phoneticPr fontId="11" type="noConversion"/>
  </si>
  <si>
    <t>M1.7
裏沈頭逃孔</t>
    <rPh sb="5" eb="6">
      <t>ウラ</t>
    </rPh>
    <phoneticPr fontId="19"/>
  </si>
  <si>
    <t>CD-B支柱-3.0</t>
    <rPh sb="1" eb="2">
      <t>トメ</t>
    </rPh>
    <phoneticPr fontId="19"/>
  </si>
  <si>
    <t>x</t>
  </si>
  <si>
    <t>DD(Full)</t>
    <phoneticPr fontId="11" type="noConversion"/>
  </si>
  <si>
    <t>裏0.6深0.5</t>
    <phoneticPr fontId="11" type="noConversion"/>
  </si>
  <si>
    <t>CD支柱-1.0</t>
    <rPh sb="1" eb="2">
      <t>トメ</t>
    </rPh>
    <phoneticPr fontId="19"/>
  </si>
  <si>
    <t>M1.4沈頭</t>
    <phoneticPr fontId="11" type="noConversion"/>
  </si>
  <si>
    <t>M1.4
裏沈頭</t>
    <rPh sb="5" eb="6">
      <t>ウラ</t>
    </rPh>
    <phoneticPr fontId="19"/>
  </si>
  <si>
    <t>CD支柱-2.0</t>
    <rPh sb="1" eb="2">
      <t>トメ</t>
    </rPh>
    <phoneticPr fontId="19"/>
  </si>
  <si>
    <t>G支柱-3.0</t>
    <rPh sb="1" eb="2">
      <t>トメ</t>
    </rPh>
    <phoneticPr fontId="19"/>
  </si>
  <si>
    <t>針盤蓋板(鎖4角)</t>
    <phoneticPr fontId="11" type="noConversion"/>
  </si>
  <si>
    <t>CD-B支柱-2.0</t>
    <rPh sb="1" eb="2">
      <t>トメ</t>
    </rPh>
    <phoneticPr fontId="19"/>
  </si>
  <si>
    <t>M1.4
裏沈頭逃孔</t>
    <rPh sb="5" eb="6">
      <t>ウラ</t>
    </rPh>
    <phoneticPr fontId="19"/>
  </si>
  <si>
    <t>G支柱-0.8</t>
    <rPh sb="1" eb="2">
      <t>トメ</t>
    </rPh>
    <phoneticPr fontId="19"/>
  </si>
  <si>
    <t>G支柱-2.0</t>
    <rPh sb="1" eb="2">
      <t>トメ</t>
    </rPh>
    <phoneticPr fontId="19"/>
  </si>
  <si>
    <t>M1.4沈頭</t>
    <rPh sb="5" eb="6">
      <t>ウラ</t>
    </rPh>
    <phoneticPr fontId="19"/>
  </si>
  <si>
    <t>―</t>
    <phoneticPr fontId="94" type="noConversion"/>
  </si>
  <si>
    <t>CD支柱-0.5</t>
    <rPh sb="1" eb="2">
      <t>トメ</t>
    </rPh>
    <phoneticPr fontId="19"/>
  </si>
  <si>
    <t>裏0.6深0.3</t>
    <phoneticPr fontId="11" type="noConversion"/>
  </si>
  <si>
    <t>G支柱-2.5</t>
    <rPh sb="1" eb="2">
      <t>トメ</t>
    </rPh>
    <phoneticPr fontId="19"/>
  </si>
  <si>
    <t>G支柱-6.0</t>
    <rPh sb="1" eb="2">
      <t>トメ</t>
    </rPh>
    <phoneticPr fontId="19"/>
  </si>
  <si>
    <t>M3沈頭</t>
    <rPh sb="0" eb="4">
      <t>ウラ</t>
    </rPh>
    <phoneticPr fontId="19"/>
  </si>
  <si>
    <t>G支柱-6.5</t>
    <rPh sb="1" eb="2">
      <t>トメ</t>
    </rPh>
    <phoneticPr fontId="19"/>
  </si>
  <si>
    <t>BOM</t>
    <phoneticPr fontId="11" type="noConversion"/>
  </si>
  <si>
    <t>支柱尺寸</t>
    <phoneticPr fontId="11" type="noConversion"/>
  </si>
  <si>
    <t>支柱長度</t>
    <phoneticPr fontId="11" type="noConversion"/>
  </si>
  <si>
    <t>-------------</t>
    <phoneticPr fontId="11" type="noConversion"/>
  </si>
  <si>
    <t>AF定位PIN-2.0</t>
    <phoneticPr fontId="11" type="noConversion"/>
  </si>
  <si>
    <t>AF定位PIN-1.5</t>
    <phoneticPr fontId="11" type="noConversion"/>
  </si>
  <si>
    <t>---</t>
    <phoneticPr fontId="11" type="noConversion"/>
  </si>
  <si>
    <t>3.0定位PIN(外)</t>
  </si>
  <si>
    <t>3.0定位PIN(內)</t>
    <phoneticPr fontId="11" type="noConversion"/>
  </si>
  <si>
    <t>AF定位PIN-2.0</t>
  </si>
  <si>
    <t>反沾逃孔</t>
  </si>
  <si>
    <t>反沾逃孔</t>
    <phoneticPr fontId="11" type="noConversion"/>
  </si>
  <si>
    <t>CD支柱-3.0</t>
  </si>
  <si>
    <t>手檔板</t>
  </si>
  <si>
    <t>手檔板螺絲</t>
    <rPh sb="2" eb="3">
      <t>トメ</t>
    </rPh>
    <phoneticPr fontId="19"/>
  </si>
  <si>
    <t>手檔板螺絲</t>
  </si>
  <si>
    <t>Gats-77XX</t>
    <phoneticPr fontId="11" type="noConversion"/>
  </si>
  <si>
    <r>
      <t>80X80 4PCS 電木板組成-L=</t>
    </r>
    <r>
      <rPr>
        <sz val="12"/>
        <color indexed="10"/>
        <rFont val="新細明體"/>
        <family val="1"/>
        <charset val="136"/>
      </rPr>
      <t>65.3</t>
    </r>
    <phoneticPr fontId="11" type="noConversion"/>
  </si>
  <si>
    <r>
      <t>80X80 4PCS 電木板組成-L=</t>
    </r>
    <r>
      <rPr>
        <sz val="12"/>
        <color indexed="10"/>
        <rFont val="新細明體"/>
        <family val="1"/>
        <charset val="136"/>
      </rPr>
      <t>55.3</t>
    </r>
    <phoneticPr fontId="11" type="noConversion"/>
  </si>
  <si>
    <t>線針  CT46</t>
    <phoneticPr fontId="11" type="noConversion"/>
  </si>
  <si>
    <t>DD*2</t>
    <phoneticPr fontId="11" type="noConversion"/>
  </si>
  <si>
    <t>DD</t>
    <phoneticPr fontId="11" type="noConversion"/>
  </si>
  <si>
    <t>HSU</t>
    <phoneticPr fontId="11" type="noConversion"/>
  </si>
  <si>
    <t>宗智</t>
    <phoneticPr fontId="11" type="noConversion"/>
  </si>
  <si>
    <t>DD(HALF)</t>
    <phoneticPr fontId="11" type="noConversion"/>
  </si>
  <si>
    <t>加工</t>
    <phoneticPr fontId="11" type="noConversion"/>
  </si>
  <si>
    <t>GATS底板15t*250*425</t>
    <phoneticPr fontId="11" type="noConversion"/>
  </si>
  <si>
    <t xml:space="preserve">  15t*250*425</t>
    <phoneticPr fontId="11" type="noConversion"/>
  </si>
  <si>
    <t>40N(3.5)</t>
    <phoneticPr fontId="11" type="noConversion"/>
  </si>
  <si>
    <t>CT46</t>
    <phoneticPr fontId="11" type="noConversion"/>
  </si>
  <si>
    <t>ABC尺寸</t>
    <phoneticPr fontId="11" type="noConversion"/>
  </si>
  <si>
    <t>D-G(G1)尺寸</t>
    <phoneticPr fontId="11" type="noConversion"/>
  </si>
  <si>
    <t>A板挖槽定位PIN</t>
  </si>
  <si>
    <t>ABC40</t>
    <phoneticPr fontId="11" type="noConversion"/>
  </si>
  <si>
    <t>D-40</t>
  </si>
  <si>
    <t>E-40</t>
  </si>
  <si>
    <t>E2-40</t>
  </si>
  <si>
    <t>FG-40</t>
  </si>
  <si>
    <t>A板針點請加深0.07</t>
    <phoneticPr fontId="11" type="noConversion"/>
  </si>
  <si>
    <t>B40</t>
    <phoneticPr fontId="11" type="noConversion"/>
  </si>
  <si>
    <t>C40</t>
    <phoneticPr fontId="11" type="noConversion"/>
  </si>
  <si>
    <t>7</t>
  </si>
  <si>
    <t>1/3</t>
    <phoneticPr fontId="11" type="noConversion"/>
  </si>
  <si>
    <t>1/11</t>
    <phoneticPr fontId="11" type="noConversion"/>
  </si>
  <si>
    <t>1/12</t>
    <phoneticPr fontId="11" type="noConversion"/>
  </si>
  <si>
    <t>WD-2601007</t>
  </si>
  <si>
    <t>景碩科技 清華廠</t>
  </si>
  <si>
    <t>Q59-859-1(2+4W)</t>
    <phoneticPr fontId="11" type="noConversion"/>
  </si>
  <si>
    <t>7x9x2</t>
    <phoneticPr fontId="11" type="noConversion"/>
  </si>
  <si>
    <t>1x1</t>
    <phoneticPr fontId="11" type="noConversion"/>
  </si>
  <si>
    <t>40N</t>
    <phoneticPr fontId="11" type="noConversion"/>
  </si>
  <si>
    <t>0105
1500</t>
    <phoneticPr fontId="11" type="noConversion"/>
  </si>
  <si>
    <t>O2601007.T</t>
    <phoneticPr fontId="11" type="noConversion"/>
  </si>
  <si>
    <t>O2601007.B</t>
    <phoneticPr fontId="11" type="noConversion"/>
  </si>
  <si>
    <t>PPS</t>
    <phoneticPr fontId="11" type="noConversion"/>
  </si>
  <si>
    <t>UV-M3</t>
  </si>
  <si>
    <t>3x28</t>
    <phoneticPr fontId="11" type="noConversion"/>
  </si>
  <si>
    <t>8x28</t>
    <phoneticPr fontId="11" type="noConversion"/>
  </si>
  <si>
    <t>PPS 3T</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</si>
</sst>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m&quot;月&quot;d&quot;日&quot;"/>
    <numFmt numFmtId="177" formatCode="0_);[Red]\(0\)"/>
    <numFmt numFmtId="178" formatCode="0_ "/>
    <numFmt numFmtId="179" formatCode="0.00_);[Red]\(0.00\)"/>
    <numFmt numFmtId="180" formatCode="yyyy&quot;年&quot;m&quot;月&quot;d&quot;日&quot;;@"/>
    <numFmt numFmtId="181" formatCode="0.0_ "/>
    <numFmt numFmtId="182" formatCode="0.0"/>
    <numFmt numFmtId="183" formatCode="0.0_);[Red]\(0.0\)"/>
    <numFmt numFmtId="184" formatCode="0.0000"/>
    <numFmt numFmtId="185" formatCode="0.00_ "/>
  </numFmts>
  <fonts count="103">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b/>
      <sz val="12"/>
      <name val="新細明體"/>
      <family val="1"/>
      <charset val="136"/>
    </font>
    <font>
      <b/>
      <sz val="18"/>
      <name val="新細明體"/>
      <family val="1"/>
      <charset val="136"/>
    </font>
    <font>
      <sz val="10"/>
      <name val="新細明體"/>
      <family val="1"/>
      <charset val="136"/>
    </font>
    <font>
      <sz val="9"/>
      <name val="新細明體"/>
      <family val="1"/>
      <charset val="136"/>
    </font>
    <font>
      <b/>
      <sz val="9"/>
      <name val="新細明體"/>
      <family val="1"/>
      <charset val="136"/>
    </font>
    <font>
      <sz val="14"/>
      <name val="新細明體"/>
      <family val="1"/>
      <charset val="136"/>
    </font>
    <font>
      <sz val="16"/>
      <name val="新細明體"/>
      <family val="1"/>
      <charset val="136"/>
    </font>
    <font>
      <sz val="6"/>
      <name val="ＭＳ Ｐゴシック"/>
      <family val="2"/>
      <charset val="128"/>
    </font>
    <font>
      <sz val="11"/>
      <name val="ＭＳ Ｐ明朝"/>
      <family val="1"/>
    </font>
    <font>
      <sz val="12"/>
      <color indexed="10"/>
      <name val="新細明體"/>
      <family val="1"/>
      <charset val="136"/>
    </font>
    <font>
      <sz val="12"/>
      <color indexed="10"/>
      <name val="Calibri"/>
      <family val="2"/>
      <charset val="161"/>
    </font>
    <font>
      <b/>
      <sz val="6"/>
      <color indexed="10"/>
      <name val="Gulim"/>
      <family val="2"/>
      <charset val="129"/>
    </font>
    <font>
      <b/>
      <sz val="6"/>
      <color indexed="10"/>
      <name val="新細明體"/>
      <family val="1"/>
      <charset val="136"/>
    </font>
    <font>
      <b/>
      <sz val="12"/>
      <color indexed="30"/>
      <name val="新細明體"/>
      <family val="1"/>
      <charset val="136"/>
    </font>
    <font>
      <sz val="12"/>
      <name val="Calibri"/>
      <family val="2"/>
      <charset val="161"/>
    </font>
    <font>
      <sz val="12"/>
      <color indexed="10"/>
      <name val="新細明體"/>
      <family val="1"/>
      <charset val="136"/>
    </font>
    <font>
      <sz val="12"/>
      <color theme="1"/>
      <name val="新細明體"/>
      <family val="1"/>
      <charset val="136"/>
      <scheme val="minor"/>
    </font>
    <font>
      <b/>
      <sz val="12"/>
      <color theme="1"/>
      <name val="新細明體"/>
      <family val="1"/>
      <charset val="136"/>
      <scheme val="minor"/>
    </font>
    <font>
      <u/>
      <sz val="11"/>
      <color theme="10"/>
      <name val="ＭＳ Ｐ明朝"/>
      <family val="1"/>
    </font>
    <font>
      <sz val="12"/>
      <color rgb="FFFF0000"/>
      <name val="新細明體"/>
      <family val="1"/>
      <charset val="136"/>
      <scheme val="minor"/>
    </font>
    <font>
      <sz val="14"/>
      <color theme="1"/>
      <name val="標楷體"/>
      <family val="4"/>
      <charset val="136"/>
    </font>
    <font>
      <b/>
      <sz val="9"/>
      <color rgb="FFFF0000"/>
      <name val="新細明體"/>
      <family val="1"/>
      <charset val="136"/>
    </font>
    <font>
      <b/>
      <sz val="12"/>
      <color rgb="FFFF0000"/>
      <name val="新細明體"/>
      <family val="1"/>
      <charset val="136"/>
    </font>
    <font>
      <sz val="12"/>
      <color theme="1"/>
      <name val="標楷體"/>
      <family val="4"/>
      <charset val="136"/>
    </font>
    <font>
      <u/>
      <sz val="18"/>
      <color indexed="10"/>
      <name val="新細明體"/>
      <family val="1"/>
      <charset val="136"/>
      <scheme val="minor"/>
    </font>
    <font>
      <sz val="8"/>
      <name val="新細明體"/>
      <family val="1"/>
      <charset val="136"/>
      <scheme val="minor"/>
    </font>
    <font>
      <sz val="11"/>
      <color indexed="10"/>
      <name val="新細明體"/>
      <family val="1"/>
      <charset val="136"/>
      <scheme val="minor"/>
    </font>
    <font>
      <sz val="11"/>
      <name val="新細明體"/>
      <family val="1"/>
      <charset val="136"/>
      <scheme val="minor"/>
    </font>
    <font>
      <sz val="8"/>
      <color theme="1"/>
      <name val="新細明體"/>
      <family val="1"/>
      <charset val="136"/>
      <scheme val="minor"/>
    </font>
    <font>
      <sz val="12"/>
      <name val="新細明體"/>
      <family val="1"/>
      <charset val="136"/>
      <scheme val="minor"/>
    </font>
    <font>
      <sz val="10"/>
      <name val="新細明體"/>
      <family val="1"/>
      <charset val="136"/>
      <scheme val="minor"/>
    </font>
    <font>
      <sz val="12"/>
      <color rgb="FF000000"/>
      <name val="標楷體"/>
      <family val="4"/>
      <charset val="136"/>
    </font>
    <font>
      <b/>
      <sz val="12"/>
      <name val="新細明體"/>
      <family val="1"/>
      <charset val="136"/>
      <scheme val="minor"/>
    </font>
    <font>
      <b/>
      <sz val="10"/>
      <name val="新細明體"/>
      <family val="1"/>
      <charset val="136"/>
      <scheme val="minor"/>
    </font>
    <font>
      <sz val="8"/>
      <color indexed="10"/>
      <name val="新細明體"/>
      <family val="1"/>
      <charset val="136"/>
      <scheme val="minor"/>
    </font>
    <font>
      <sz val="8"/>
      <color rgb="FFFF0000"/>
      <name val="新細明體"/>
      <family val="1"/>
      <charset val="136"/>
      <scheme val="minor"/>
    </font>
    <font>
      <sz val="12"/>
      <color theme="1"/>
      <name val="新細明體"/>
      <family val="1"/>
      <charset val="136"/>
    </font>
    <font>
      <b/>
      <sz val="12"/>
      <color rgb="FF0070C0"/>
      <name val="新細明體"/>
      <family val="1"/>
      <charset val="136"/>
    </font>
    <font>
      <sz val="12"/>
      <color rgb="FF0070C0"/>
      <name val="新細明體"/>
      <family val="1"/>
      <charset val="136"/>
    </font>
    <font>
      <sz val="10"/>
      <color rgb="FF0070C0"/>
      <name val="新細明體"/>
      <family val="1"/>
      <charset val="136"/>
    </font>
    <font>
      <b/>
      <sz val="8"/>
      <color rgb="FF0070C0"/>
      <name val="新細明體"/>
      <family val="1"/>
      <charset val="136"/>
      <scheme val="minor"/>
    </font>
    <font>
      <sz val="8"/>
      <color rgb="FF0070C0"/>
      <name val="新細明體"/>
      <family val="1"/>
      <charset val="136"/>
      <scheme val="minor"/>
    </font>
    <font>
      <b/>
      <sz val="10"/>
      <color rgb="FF0070C0"/>
      <name val="新細明體"/>
      <family val="1"/>
      <charset val="136"/>
      <scheme val="minor"/>
    </font>
    <font>
      <sz val="10"/>
      <color theme="1"/>
      <name val="新細明體"/>
      <family val="1"/>
      <charset val="136"/>
      <scheme val="minor"/>
    </font>
    <font>
      <sz val="12"/>
      <color theme="4" tint="-0.499984740745262"/>
      <name val="新細明體"/>
      <family val="1"/>
      <charset val="136"/>
    </font>
    <font>
      <b/>
      <sz val="10"/>
      <color theme="4" tint="-0.249977111117893"/>
      <name val="新細明體"/>
      <family val="1"/>
      <charset val="136"/>
      <scheme val="minor"/>
    </font>
    <font>
      <b/>
      <sz val="8"/>
      <color rgb="FFFF0000"/>
      <name val="新細明體"/>
      <family val="1"/>
      <charset val="136"/>
      <scheme val="minor"/>
    </font>
    <font>
      <b/>
      <sz val="8"/>
      <color theme="4" tint="-0.249977111117893"/>
      <name val="新細明體"/>
      <family val="1"/>
      <charset val="136"/>
      <scheme val="minor"/>
    </font>
    <font>
      <b/>
      <sz val="10"/>
      <color theme="4" tint="-0.499984740745262"/>
      <name val="新細明體"/>
      <family val="1"/>
      <charset val="136"/>
      <scheme val="minor"/>
    </font>
    <font>
      <b/>
      <sz val="11"/>
      <color rgb="FF0070C0"/>
      <name val="新細明體"/>
      <family val="1"/>
      <charset val="136"/>
      <scheme val="minor"/>
    </font>
    <font>
      <sz val="12"/>
      <color rgb="FFFF0000"/>
      <name val="新細明體"/>
      <family val="1"/>
      <charset val="136"/>
    </font>
    <font>
      <b/>
      <sz val="12"/>
      <color rgb="FFFF0000"/>
      <name val="新細明體"/>
      <family val="1"/>
      <charset val="136"/>
      <scheme val="minor"/>
    </font>
    <font>
      <b/>
      <sz val="12"/>
      <color rgb="FF0070C0"/>
      <name val="新細明體"/>
      <family val="1"/>
      <charset val="136"/>
      <scheme val="minor"/>
    </font>
    <font>
      <sz val="12"/>
      <color rgb="FF0070C0"/>
      <name val="新細明體"/>
      <family val="1"/>
      <charset val="136"/>
      <scheme val="minor"/>
    </font>
    <font>
      <sz val="14"/>
      <color rgb="FFFF0000"/>
      <name val="標楷體"/>
      <family val="4"/>
      <charset val="136"/>
    </font>
    <font>
      <sz val="14"/>
      <color theme="1"/>
      <name val="新細明體"/>
      <family val="1"/>
      <charset val="136"/>
      <scheme val="minor"/>
    </font>
    <font>
      <b/>
      <sz val="10"/>
      <color rgb="FFFF0000"/>
      <name val="新細明體"/>
      <family val="1"/>
      <charset val="136"/>
      <scheme val="minor"/>
    </font>
    <font>
      <b/>
      <sz val="6"/>
      <color rgb="FFFF0000"/>
      <name val="新細明體"/>
      <family val="1"/>
      <charset val="136"/>
      <scheme val="minor"/>
    </font>
    <font>
      <b/>
      <sz val="12"/>
      <color rgb="FFFF0000"/>
      <name val="標楷體"/>
      <family val="4"/>
      <charset val="136"/>
    </font>
    <font>
      <sz val="11"/>
      <color theme="1"/>
      <name val="標楷體"/>
      <family val="4"/>
      <charset val="136"/>
    </font>
    <font>
      <b/>
      <sz val="12"/>
      <color theme="1"/>
      <name val="新細明體"/>
      <family val="1"/>
      <charset val="136"/>
    </font>
    <font>
      <b/>
      <sz val="10"/>
      <color rgb="FFFF0000"/>
      <name val="新細明體"/>
      <family val="1"/>
      <charset val="136"/>
    </font>
    <font>
      <b/>
      <sz val="11"/>
      <color rgb="FFFF0000"/>
      <name val="新細明體"/>
      <family val="1"/>
      <charset val="136"/>
    </font>
    <font>
      <b/>
      <sz val="10"/>
      <color rgb="FF0070C0"/>
      <name val="新細明體"/>
      <family val="1"/>
      <charset val="136"/>
    </font>
    <font>
      <sz val="10"/>
      <color rgb="FFFF0000"/>
      <name val="新細明體"/>
      <family val="1"/>
      <charset val="136"/>
      <scheme val="minor"/>
    </font>
    <font>
      <b/>
      <sz val="14"/>
      <color rgb="FFFF0000"/>
      <name val="新細明體"/>
      <family val="1"/>
      <charset val="136"/>
      <scheme val="minor"/>
    </font>
    <font>
      <sz val="10"/>
      <color theme="1"/>
      <name val="標楷體"/>
      <family val="4"/>
      <charset val="136"/>
    </font>
    <font>
      <b/>
      <sz val="14"/>
      <color rgb="FFFF0000"/>
      <name val="新細明體"/>
      <family val="1"/>
      <charset val="136"/>
    </font>
    <font>
      <b/>
      <sz val="14"/>
      <color rgb="FF0070C0"/>
      <name val="標楷體"/>
      <family val="4"/>
      <charset val="136"/>
    </font>
    <font>
      <b/>
      <u/>
      <sz val="18"/>
      <color indexed="8"/>
      <name val="新細明體"/>
      <family val="1"/>
      <charset val="136"/>
      <scheme val="minor"/>
    </font>
    <font>
      <b/>
      <u/>
      <sz val="11"/>
      <color indexed="8"/>
      <name val="新細明體"/>
      <family val="1"/>
      <charset val="136"/>
      <scheme val="minor"/>
    </font>
    <font>
      <b/>
      <u/>
      <sz val="18"/>
      <color rgb="FFFF0000"/>
      <name val="新細明體"/>
      <family val="1"/>
      <charset val="136"/>
      <scheme val="minor"/>
    </font>
    <font>
      <b/>
      <sz val="12"/>
      <color theme="4" tint="-0.249977111117893"/>
      <name val="新細明體"/>
      <family val="1"/>
      <charset val="136"/>
    </font>
    <font>
      <sz val="12"/>
      <color theme="4" tint="-0.249977111117893"/>
      <name val="新細明體"/>
      <family val="1"/>
      <charset val="136"/>
    </font>
    <font>
      <sz val="12"/>
      <color rgb="FFFF0000"/>
      <name val="標楷體"/>
      <family val="4"/>
      <charset val="136"/>
    </font>
    <font>
      <sz val="16"/>
      <color theme="1"/>
      <name val="標楷體"/>
      <family val="4"/>
      <charset val="136"/>
    </font>
    <font>
      <sz val="36"/>
      <color theme="1"/>
      <name val="新細明體"/>
      <family val="1"/>
      <charset val="136"/>
      <scheme val="minor"/>
    </font>
    <font>
      <b/>
      <sz val="8"/>
      <color rgb="FFFF0000"/>
      <name val="新細明體"/>
      <family val="3"/>
      <charset val="136"/>
      <scheme val="minor"/>
    </font>
    <font>
      <b/>
      <sz val="9"/>
      <color rgb="FF0070C0"/>
      <name val="新細明體"/>
      <family val="1"/>
      <charset val="136"/>
    </font>
    <font>
      <b/>
      <sz val="11"/>
      <name val="新細明體"/>
      <family val="1"/>
      <charset val="136"/>
    </font>
    <font>
      <b/>
      <sz val="12"/>
      <color rgb="FFFF0000"/>
      <name val="新細明體"/>
      <family val="3"/>
      <charset val="136"/>
      <scheme val="minor"/>
    </font>
    <font>
      <b/>
      <sz val="9"/>
      <color rgb="FFFF0000"/>
      <name val="新細明體"/>
      <family val="1"/>
      <charset val="136"/>
      <scheme val="minor"/>
    </font>
    <font>
      <sz val="9"/>
      <name val="新細明體"/>
      <family val="2"/>
      <charset val="136"/>
      <scheme val="minor"/>
    </font>
    <font>
      <b/>
      <sz val="10"/>
      <color indexed="62"/>
      <name val="新細明體"/>
      <family val="1"/>
      <charset val="136"/>
    </font>
    <font>
      <sz val="8"/>
      <name val="新細明體"/>
      <family val="1"/>
      <charset val="136"/>
    </font>
    <font>
      <b/>
      <sz val="10"/>
      <color indexed="30"/>
      <name val="新細明體"/>
      <family val="1"/>
      <charset val="136"/>
    </font>
    <font>
      <b/>
      <sz val="8"/>
      <color indexed="30"/>
      <name val="新細明體"/>
      <family val="1"/>
      <charset val="136"/>
    </font>
    <font>
      <sz val="11"/>
      <color theme="1"/>
      <name val="MS P明朝"/>
      <family val="3"/>
      <charset val="136"/>
    </font>
    <font>
      <sz val="11"/>
      <name val="ＭＳ Ｐ明朝"/>
      <family val="1"/>
      <charset val="136"/>
    </font>
    <font>
      <b/>
      <sz val="12"/>
      <color indexed="10"/>
      <name val="新細明體"/>
      <family val="1"/>
      <charset val="136"/>
    </font>
    <font>
      <sz val="12"/>
      <name val="新細明體"/>
      <family val="3"/>
      <charset val="136"/>
      <scheme val="minor"/>
    </font>
  </fonts>
  <fills count="12">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indexed="11"/>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8"/>
      </left>
      <right style="medium">
        <color indexed="8"/>
      </right>
      <top style="thin">
        <color indexed="64"/>
      </top>
      <bottom style="thin">
        <color indexed="64"/>
      </bottom>
      <diagonal/>
    </border>
    <border>
      <left style="medium">
        <color indexed="64"/>
      </left>
      <right/>
      <top style="medium">
        <color indexed="64"/>
      </top>
      <bottom/>
      <diagonal/>
    </border>
    <border>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8"/>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8"/>
      </left>
      <right/>
      <top style="thin">
        <color indexed="64"/>
      </top>
      <bottom style="thin">
        <color indexed="64"/>
      </bottom>
      <diagonal/>
    </border>
    <border>
      <left/>
      <right style="medium">
        <color indexed="64"/>
      </right>
      <top/>
      <bottom style="thin">
        <color indexed="64"/>
      </bottom>
      <diagonal/>
    </border>
    <border>
      <left style="medium">
        <color indexed="64"/>
      </left>
      <right style="medium">
        <color rgb="FFFF0000"/>
      </right>
      <top style="medium">
        <color rgb="FFFF0000"/>
      </top>
      <bottom style="medium">
        <color rgb="FFFF0000"/>
      </bottom>
      <diagonal/>
    </border>
    <border>
      <left style="medium">
        <color theme="1"/>
      </left>
      <right style="medium">
        <color theme="1"/>
      </right>
      <top style="thin">
        <color indexed="64"/>
      </top>
      <bottom style="thin">
        <color indexed="64"/>
      </bottom>
      <diagonal/>
    </border>
    <border>
      <left style="medium">
        <color rgb="FFFF0000"/>
      </left>
      <right style="thin">
        <color indexed="64"/>
      </right>
      <top style="medium">
        <color rgb="FFFF0000"/>
      </top>
      <bottom style="medium">
        <color rgb="FFFF0000"/>
      </bottom>
      <diagonal/>
    </border>
    <border>
      <left/>
      <right/>
      <top style="thin">
        <color theme="1"/>
      </top>
      <bottom style="thin">
        <color theme="1"/>
      </bottom>
      <diagonal/>
    </border>
    <border>
      <left style="medium">
        <color rgb="FFFF0000"/>
      </left>
      <right/>
      <top style="medium">
        <color rgb="FFFF0000"/>
      </top>
      <bottom style="medium">
        <color rgb="FFFF0000"/>
      </bottom>
      <diagonal/>
    </border>
    <border>
      <left style="medium">
        <color theme="1"/>
      </left>
      <right style="medium">
        <color theme="1"/>
      </right>
      <top style="medium">
        <color theme="1"/>
      </top>
      <bottom/>
      <diagonal/>
    </border>
    <border>
      <left style="thin">
        <color indexed="64"/>
      </left>
      <right style="thin">
        <color indexed="64"/>
      </right>
      <top style="medium">
        <color rgb="FFFF0000"/>
      </top>
      <bottom style="medium">
        <color rgb="FFFF0000"/>
      </bottom>
      <diagonal/>
    </border>
    <border>
      <left style="thin">
        <color indexed="64"/>
      </left>
      <right style="medium">
        <color indexed="64"/>
      </right>
      <top style="medium">
        <color rgb="FFFF0000"/>
      </top>
      <bottom style="medium">
        <color rgb="FFFF0000"/>
      </bottom>
      <diagonal/>
    </border>
    <border>
      <left style="thin">
        <color indexed="64"/>
      </left>
      <right/>
      <top style="medium">
        <color rgb="FFFF0000"/>
      </top>
      <bottom style="medium">
        <color rgb="FFFF0000"/>
      </bottom>
      <diagonal/>
    </border>
    <border>
      <left style="medium">
        <color theme="1"/>
      </left>
      <right style="medium">
        <color theme="1"/>
      </right>
      <top/>
      <bottom style="thin">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bottom style="medium">
        <color rgb="FFFF0000"/>
      </bottom>
      <diagonal/>
    </border>
    <border>
      <left/>
      <right/>
      <top/>
      <bottom style="thin">
        <color theme="1"/>
      </bottom>
      <diagonal/>
    </border>
    <border>
      <left/>
      <right style="medium">
        <color theme="1"/>
      </right>
      <top style="thin">
        <color indexed="64"/>
      </top>
      <bottom style="thin">
        <color indexed="64"/>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indexed="64"/>
      </left>
      <right/>
      <top style="thin">
        <color indexed="64"/>
      </top>
      <bottom style="medium">
        <color rgb="FFFF0000"/>
      </bottom>
      <diagonal/>
    </border>
    <border>
      <left style="thin">
        <color indexed="64"/>
      </left>
      <right/>
      <top style="medium">
        <color rgb="FFFF0000"/>
      </top>
      <bottom style="thin">
        <color indexed="64"/>
      </bottom>
      <diagonal/>
    </border>
    <border>
      <left style="medium">
        <color theme="1"/>
      </left>
      <right/>
      <top style="thin">
        <color indexed="64"/>
      </top>
      <bottom style="thin">
        <color indexed="64"/>
      </bottom>
      <diagonal/>
    </border>
    <border>
      <left style="medium">
        <color theme="1"/>
      </left>
      <right/>
      <top/>
      <bottom style="thin">
        <color indexed="64"/>
      </bottom>
      <diagonal/>
    </border>
    <border>
      <left style="medium">
        <color theme="1"/>
      </left>
      <right/>
      <top style="medium">
        <color indexed="64"/>
      </top>
      <bottom style="thin">
        <color indexed="64"/>
      </bottom>
      <diagonal/>
    </border>
    <border>
      <left style="medium">
        <color theme="1"/>
      </left>
      <right/>
      <top style="thin">
        <color indexed="64"/>
      </top>
      <bottom style="medium">
        <color indexed="64"/>
      </bottom>
      <diagonal/>
    </border>
    <border>
      <left/>
      <right style="medium">
        <color theme="1"/>
      </right>
      <top style="thin">
        <color indexed="64"/>
      </top>
      <bottom/>
      <diagonal/>
    </border>
    <border>
      <left style="medium">
        <color theme="1"/>
      </left>
      <right/>
      <top style="medium">
        <color theme="1"/>
      </top>
      <bottom/>
      <diagonal/>
    </border>
    <border>
      <left/>
      <right style="medium">
        <color theme="1"/>
      </right>
      <top style="medium">
        <color theme="1"/>
      </top>
      <bottom/>
      <diagonal/>
    </border>
    <border>
      <left/>
      <right style="medium">
        <color theme="1"/>
      </right>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FF0000"/>
      </left>
      <right/>
      <top/>
      <bottom style="medium">
        <color rgb="FFFF0000"/>
      </bottom>
      <diagonal/>
    </border>
    <border>
      <left style="thin">
        <color indexed="64"/>
      </left>
      <right style="thin">
        <color indexed="64"/>
      </right>
      <top style="medium">
        <color indexed="10"/>
      </top>
      <bottom style="medium">
        <color indexed="10"/>
      </bottom>
      <diagonal/>
    </border>
    <border>
      <left style="medium">
        <color indexed="10"/>
      </left>
      <right style="thin">
        <color indexed="64"/>
      </right>
      <top style="medium">
        <color indexed="10"/>
      </top>
      <bottom style="medium">
        <color indexed="10"/>
      </bottom>
      <diagonal/>
    </border>
    <border>
      <left style="thin">
        <color indexed="64"/>
      </left>
      <right/>
      <top style="medium">
        <color indexed="10"/>
      </top>
      <bottom style="medium">
        <color indexed="10"/>
      </bottom>
      <diagonal/>
    </border>
    <border>
      <left style="medium">
        <color indexed="8"/>
      </left>
      <right/>
      <top style="medium">
        <color indexed="64"/>
      </top>
      <bottom style="thin">
        <color indexed="64"/>
      </bottom>
      <diagonal/>
    </border>
  </borders>
  <cellStyleXfs count="472">
    <xf numFmtId="0" fontId="0" fillId="0" borderId="0">
      <alignment vertical="center"/>
    </xf>
    <xf numFmtId="0" fontId="28" fillId="0" borderId="0">
      <alignment vertical="center"/>
    </xf>
    <xf numFmtId="0" fontId="20" fillId="0" borderId="0"/>
    <xf numFmtId="0" fontId="20" fillId="0" borderId="0"/>
    <xf numFmtId="0" fontId="2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 fillId="0" borderId="0">
      <alignment vertical="center"/>
    </xf>
    <xf numFmtId="0" fontId="28" fillId="0" borderId="0">
      <alignment vertical="center"/>
    </xf>
    <xf numFmtId="0" fontId="28"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9" fillId="0" borderId="0">
      <alignment vertical="center"/>
    </xf>
    <xf numFmtId="0" fontId="28" fillId="0" borderId="0">
      <alignment vertical="center"/>
    </xf>
    <xf numFmtId="0" fontId="20" fillId="0" borderId="0"/>
    <xf numFmtId="0" fontId="10" fillId="0" borderId="0">
      <alignment vertical="center"/>
    </xf>
    <xf numFmtId="0" fontId="20" fillId="0" borderId="0"/>
    <xf numFmtId="0" fontId="20" fillId="0" borderId="0"/>
    <xf numFmtId="0" fontId="20" fillId="0" borderId="0"/>
    <xf numFmtId="0" fontId="28" fillId="0" borderId="0">
      <alignment vertical="center"/>
    </xf>
    <xf numFmtId="0" fontId="20" fillId="0" borderId="0"/>
    <xf numFmtId="0" fontId="28" fillId="0" borderId="0">
      <alignment vertical="center"/>
    </xf>
    <xf numFmtId="0" fontId="20" fillId="0" borderId="0"/>
    <xf numFmtId="0" fontId="28" fillId="0" borderId="0">
      <alignment vertical="center"/>
    </xf>
    <xf numFmtId="0" fontId="20" fillId="0" borderId="0"/>
    <xf numFmtId="0" fontId="20" fillId="0" borderId="0"/>
    <xf numFmtId="0" fontId="28" fillId="0" borderId="0">
      <alignment vertical="center"/>
    </xf>
    <xf numFmtId="0" fontId="28" fillId="0" borderId="0">
      <alignment vertical="center"/>
    </xf>
    <xf numFmtId="0" fontId="28" fillId="0" borderId="0">
      <alignment vertical="center"/>
    </xf>
    <xf numFmtId="0" fontId="20" fillId="0" borderId="0"/>
    <xf numFmtId="0" fontId="20" fillId="0" borderId="0"/>
    <xf numFmtId="0" fontId="20" fillId="0" borderId="0"/>
    <xf numFmtId="0" fontId="20" fillId="0" borderId="0"/>
    <xf numFmtId="0" fontId="20"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8" fillId="0" borderId="0">
      <alignment vertical="center"/>
    </xf>
    <xf numFmtId="0" fontId="20" fillId="0" borderId="0"/>
    <xf numFmtId="0" fontId="30" fillId="0" borderId="0" applyNumberFormat="0" applyFill="0" applyBorder="0" applyAlignment="0" applyProtection="0"/>
    <xf numFmtId="0" fontId="30" fillId="0" borderId="0" applyNumberFormat="0" applyFill="0" applyBorder="0" applyAlignment="0" applyProtection="0"/>
    <xf numFmtId="0" fontId="20"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0" fillId="0" borderId="0"/>
    <xf numFmtId="0" fontId="20"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0" fillId="0" borderId="0"/>
    <xf numFmtId="0" fontId="10" fillId="0" borderId="0">
      <alignment vertical="center"/>
    </xf>
    <xf numFmtId="0" fontId="10" fillId="0" borderId="0">
      <alignment vertical="center"/>
    </xf>
    <xf numFmtId="0" fontId="20" fillId="0" borderId="0"/>
    <xf numFmtId="0" fontId="28" fillId="0" borderId="0">
      <alignment vertical="center"/>
    </xf>
    <xf numFmtId="0" fontId="1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xf numFmtId="0" fontId="10" fillId="0" borderId="0">
      <alignment vertical="center"/>
    </xf>
    <xf numFmtId="0" fontId="28"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0" fillId="0" borderId="0"/>
    <xf numFmtId="0" fontId="20" fillId="0" borderId="0"/>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lignment vertical="center"/>
    </xf>
    <xf numFmtId="0" fontId="28" fillId="0" borderId="0">
      <alignment vertical="center"/>
    </xf>
    <xf numFmtId="0" fontId="20" fillId="0" borderId="0"/>
    <xf numFmtId="0" fontId="20" fillId="0" borderId="0"/>
    <xf numFmtId="0" fontId="20" fillId="0" borderId="0"/>
    <xf numFmtId="0" fontId="28" fillId="0" borderId="0">
      <alignment vertical="center"/>
    </xf>
    <xf numFmtId="0" fontId="28"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1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 fillId="0" borderId="0">
      <alignment vertical="center"/>
    </xf>
    <xf numFmtId="0" fontId="10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934">
    <xf numFmtId="0" fontId="0" fillId="0" borderId="0" xfId="0">
      <alignment vertical="center"/>
    </xf>
    <xf numFmtId="0" fontId="0" fillId="0" borderId="0" xfId="0" applyAlignment="1">
      <alignment horizontal="center" vertical="center"/>
    </xf>
    <xf numFmtId="178" fontId="0" fillId="0" borderId="0" xfId="0" applyNumberFormat="1" applyAlignment="1">
      <alignment horizontal="center" vertical="center"/>
    </xf>
    <xf numFmtId="0" fontId="0" fillId="0" borderId="0" xfId="0" applyBorder="1" applyAlignment="1">
      <alignment horizontal="center" vertical="center"/>
    </xf>
    <xf numFmtId="178" fontId="0" fillId="0" borderId="0" xfId="0" applyNumberFormat="1" applyBorder="1" applyAlignment="1">
      <alignment horizontal="center" vertical="center"/>
    </xf>
    <xf numFmtId="0" fontId="0" fillId="0" borderId="1" xfId="0" applyBorder="1" applyAlignment="1">
      <alignment horizontal="center" vertical="center"/>
    </xf>
    <xf numFmtId="0" fontId="12" fillId="0" borderId="0" xfId="0" applyFont="1" applyAlignment="1">
      <alignment horizontal="left" vertical="center"/>
    </xf>
    <xf numFmtId="0" fontId="12" fillId="0" borderId="1" xfId="0" applyFont="1" applyBorder="1" applyAlignment="1">
      <alignment horizontal="center" vertical="center"/>
    </xf>
    <xf numFmtId="0" fontId="12" fillId="0" borderId="0" xfId="0" applyFont="1" applyBorder="1" applyAlignment="1">
      <alignment horizontal="left" vertical="center"/>
    </xf>
    <xf numFmtId="178" fontId="12" fillId="0" borderId="1" xfId="0" applyNumberFormat="1" applyFont="1" applyBorder="1" applyAlignment="1">
      <alignment horizontal="center" vertical="center"/>
    </xf>
    <xf numFmtId="178" fontId="0" fillId="0" borderId="0" xfId="0" applyNumberFormat="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49" fontId="0" fillId="0" borderId="4" xfId="0" applyNumberFormat="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32" fillId="0" borderId="0" xfId="0" applyFont="1" applyAlignment="1">
      <alignment horizontal="right" vertical="center"/>
    </xf>
    <xf numFmtId="0" fontId="0" fillId="0" borderId="0" xfId="0" applyAlignment="1">
      <alignment horizontal="right" vertical="center"/>
    </xf>
    <xf numFmtId="0" fontId="0" fillId="0" borderId="4" xfId="0"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12" fillId="0" borderId="1" xfId="0" applyFont="1" applyBorder="1" applyAlignment="1">
      <alignment horizontal="left" vertical="center"/>
    </xf>
    <xf numFmtId="178" fontId="0" fillId="0" borderId="1" xfId="0" applyNumberFormat="1" applyBorder="1" applyAlignment="1">
      <alignment horizontal="left" vertical="center"/>
    </xf>
    <xf numFmtId="0" fontId="0" fillId="0" borderId="0" xfId="0" applyAlignment="1">
      <alignment horizontal="left" vertical="center" wrapText="1"/>
    </xf>
    <xf numFmtId="0" fontId="0" fillId="0" borderId="0" xfId="0" applyBorder="1" applyAlignment="1">
      <alignment horizontal="left" vertical="center"/>
    </xf>
    <xf numFmtId="178" fontId="0" fillId="0" borderId="0" xfId="0" applyNumberFormat="1" applyBorder="1" applyAlignment="1">
      <alignment horizontal="left" vertical="center"/>
    </xf>
    <xf numFmtId="179" fontId="0" fillId="0" borderId="0" xfId="0" applyNumberFormat="1" applyBorder="1" applyAlignment="1">
      <alignment horizontal="left" vertical="center"/>
    </xf>
    <xf numFmtId="179" fontId="0" fillId="0" borderId="0" xfId="0" applyNumberFormat="1" applyAlignment="1">
      <alignment horizontal="left" vertical="center"/>
    </xf>
    <xf numFmtId="0" fontId="0" fillId="0" borderId="6" xfId="0" applyBorder="1" applyAlignment="1">
      <alignment vertical="center"/>
    </xf>
    <xf numFmtId="0" fontId="16" fillId="0" borderId="0" xfId="0" applyFont="1" applyBorder="1" applyAlignment="1">
      <alignment horizontal="left" vertical="center"/>
    </xf>
    <xf numFmtId="0" fontId="33" fillId="0" borderId="0" xfId="0" applyFont="1" applyBorder="1" applyAlignment="1">
      <alignment horizontal="left" vertical="center"/>
    </xf>
    <xf numFmtId="0" fontId="11" fillId="0" borderId="0" xfId="0" applyFont="1" applyBorder="1" applyAlignment="1">
      <alignment horizontal="left" vertical="center"/>
    </xf>
    <xf numFmtId="0" fontId="14" fillId="0" borderId="1" xfId="0" applyFont="1" applyBorder="1" applyAlignment="1">
      <alignment horizontal="center" vertical="center"/>
    </xf>
    <xf numFmtId="0" fontId="13" fillId="0" borderId="0" xfId="0" applyFont="1" applyBorder="1" applyAlignment="1">
      <alignment horizontal="left" vertical="center"/>
    </xf>
    <xf numFmtId="49" fontId="0" fillId="0" borderId="0" xfId="0" applyNumberFormat="1" applyBorder="1" applyAlignment="1">
      <alignment horizontal="left" vertical="center"/>
    </xf>
    <xf numFmtId="178" fontId="0" fillId="0" borderId="1" xfId="0" applyNumberFormat="1" applyBorder="1" applyAlignment="1">
      <alignment horizontal="left" vertical="center" wrapText="1"/>
    </xf>
    <xf numFmtId="49" fontId="0" fillId="0" borderId="6" xfId="0" applyNumberFormat="1" applyBorder="1" applyAlignment="1">
      <alignment horizontal="left" vertical="center"/>
    </xf>
    <xf numFmtId="0" fontId="0" fillId="0" borderId="1" xfId="0" applyBorder="1" applyAlignment="1">
      <alignment vertical="center" wrapText="1"/>
    </xf>
    <xf numFmtId="0" fontId="14" fillId="0" borderId="1" xfId="0" applyFont="1" applyBorder="1" applyAlignment="1">
      <alignment horizontal="left" vertical="center"/>
    </xf>
    <xf numFmtId="0" fontId="14" fillId="0" borderId="7" xfId="0" applyFont="1" applyBorder="1" applyAlignment="1">
      <alignment horizontal="left" vertical="center"/>
    </xf>
    <xf numFmtId="0" fontId="0" fillId="0" borderId="8" xfId="0" applyBorder="1" applyAlignment="1">
      <alignment vertical="center"/>
    </xf>
    <xf numFmtId="178" fontId="0" fillId="0" borderId="9" xfId="0" applyNumberFormat="1" applyBorder="1" applyAlignment="1">
      <alignment vertical="center"/>
    </xf>
    <xf numFmtId="0" fontId="14" fillId="0" borderId="10" xfId="0" applyFont="1" applyBorder="1" applyAlignment="1">
      <alignment horizontal="center" vertical="center"/>
    </xf>
    <xf numFmtId="0" fontId="0" fillId="0" borderId="11" xfId="0" applyBorder="1" applyAlignment="1">
      <alignment horizontal="center" vertical="center"/>
    </xf>
    <xf numFmtId="0" fontId="14" fillId="0" borderId="12" xfId="0" applyFont="1" applyBorder="1" applyAlignment="1">
      <alignment horizontal="left" vertical="center"/>
    </xf>
    <xf numFmtId="178" fontId="0" fillId="0" borderId="13" xfId="0" applyNumberFormat="1" applyBorder="1" applyAlignment="1">
      <alignment horizontal="left" vertical="center"/>
    </xf>
    <xf numFmtId="0" fontId="0" fillId="0" borderId="12" xfId="0" applyBorder="1" applyAlignment="1">
      <alignment horizontal="center" vertical="center"/>
    </xf>
    <xf numFmtId="0" fontId="14" fillId="0" borderId="12" xfId="0" applyFont="1" applyBorder="1" applyAlignment="1">
      <alignment horizontal="center" vertical="center"/>
    </xf>
    <xf numFmtId="0" fontId="0" fillId="0" borderId="14" xfId="0" applyBorder="1" applyAlignment="1">
      <alignment horizontal="center" vertical="center"/>
    </xf>
    <xf numFmtId="0" fontId="14" fillId="0" borderId="7" xfId="0" applyFont="1" applyBorder="1" applyAlignment="1">
      <alignment horizontal="center" vertical="center"/>
    </xf>
    <xf numFmtId="0" fontId="0" fillId="0" borderId="13" xfId="0" applyFont="1" applyBorder="1" applyAlignment="1">
      <alignment horizontal="center" vertical="center"/>
    </xf>
    <xf numFmtId="178" fontId="0" fillId="0" borderId="0" xfId="0" applyNumberFormat="1" applyAlignment="1">
      <alignment horizontal="right" vertical="center"/>
    </xf>
    <xf numFmtId="178" fontId="0" fillId="0" borderId="1" xfId="0" applyNumberFormat="1" applyFill="1" applyBorder="1" applyAlignment="1">
      <alignment horizontal="left" vertical="center"/>
    </xf>
    <xf numFmtId="0" fontId="0" fillId="0" borderId="1" xfId="0" applyFill="1" applyBorder="1" applyAlignment="1">
      <alignment horizontal="left" vertical="center"/>
    </xf>
    <xf numFmtId="0" fontId="35" fillId="0" borderId="0" xfId="0" applyFont="1" applyBorder="1" applyAlignment="1">
      <alignment horizontal="right" vertical="center"/>
    </xf>
    <xf numFmtId="0" fontId="35" fillId="0" borderId="0" xfId="0" applyFont="1" applyBorder="1" applyAlignment="1">
      <alignment horizontal="left" vertical="center"/>
    </xf>
    <xf numFmtId="49" fontId="0" fillId="0" borderId="0" xfId="0" applyNumberFormat="1" applyBorder="1" applyAlignment="1">
      <alignment horizontal="center" vertical="center"/>
    </xf>
    <xf numFmtId="49" fontId="0" fillId="0" borderId="0" xfId="0" applyNumberFormat="1" applyAlignment="1">
      <alignment horizontal="center" vertical="center"/>
    </xf>
    <xf numFmtId="0" fontId="28" fillId="0" borderId="0" xfId="1">
      <alignment vertical="center"/>
    </xf>
    <xf numFmtId="0" fontId="28" fillId="0" borderId="0" xfId="1" applyFont="1" applyBorder="1" applyAlignment="1">
      <alignment vertical="center"/>
    </xf>
    <xf numFmtId="0" fontId="36" fillId="0" borderId="0" xfId="1" applyFont="1" applyBorder="1" applyAlignment="1">
      <alignment vertical="center"/>
    </xf>
    <xf numFmtId="0" fontId="37" fillId="0" borderId="0" xfId="1" applyFont="1" applyAlignment="1">
      <alignment horizontal="center" vertical="center" wrapText="1"/>
    </xf>
    <xf numFmtId="183" fontId="37" fillId="0" borderId="1" xfId="1" applyNumberFormat="1" applyFont="1" applyBorder="1" applyAlignment="1">
      <alignment horizontal="center" vertical="center" wrapText="1"/>
    </xf>
    <xf numFmtId="0" fontId="38" fillId="0" borderId="0" xfId="1" applyFont="1" applyBorder="1" applyAlignment="1">
      <alignment horizontal="center" vertical="center"/>
    </xf>
    <xf numFmtId="0" fontId="39" fillId="0" borderId="15" xfId="1" applyFont="1" applyBorder="1" applyAlignment="1">
      <alignment horizontal="center" vertical="center"/>
    </xf>
    <xf numFmtId="183" fontId="40" fillId="0" borderId="15" xfId="1" applyNumberFormat="1" applyFont="1" applyBorder="1" applyAlignment="1">
      <alignment vertical="center"/>
    </xf>
    <xf numFmtId="177" fontId="40" fillId="0" borderId="15" xfId="1" applyNumberFormat="1" applyFont="1" applyBorder="1" applyAlignment="1">
      <alignment vertical="center"/>
    </xf>
    <xf numFmtId="183" fontId="40" fillId="0" borderId="15" xfId="1" applyNumberFormat="1" applyFont="1" applyBorder="1" applyAlignment="1">
      <alignment vertical="center" wrapText="1"/>
    </xf>
    <xf numFmtId="0" fontId="28" fillId="0" borderId="0" xfId="1" applyFont="1" applyAlignment="1">
      <alignment vertical="center"/>
    </xf>
    <xf numFmtId="0" fontId="41" fillId="0" borderId="16" xfId="1" applyFont="1" applyBorder="1" applyAlignment="1">
      <alignment horizontal="center" vertical="center"/>
    </xf>
    <xf numFmtId="178" fontId="42" fillId="0" borderId="18" xfId="1" applyNumberFormat="1" applyFont="1" applyBorder="1" applyAlignment="1">
      <alignment horizontal="center" vertical="center" wrapText="1" shrinkToFit="1"/>
    </xf>
    <xf numFmtId="0" fontId="43" fillId="0" borderId="0" xfId="1" applyFont="1" applyAlignment="1">
      <alignment horizontal="right" vertical="center"/>
    </xf>
    <xf numFmtId="0" fontId="44" fillId="0" borderId="19" xfId="1" applyFont="1" applyBorder="1" applyAlignment="1">
      <alignment horizontal="center" vertical="center"/>
    </xf>
    <xf numFmtId="0" fontId="44" fillId="0" borderId="18" xfId="1" applyFont="1" applyBorder="1" applyAlignment="1">
      <alignment horizontal="center" vertical="center"/>
    </xf>
    <xf numFmtId="0" fontId="29" fillId="0" borderId="20" xfId="1" applyFont="1" applyBorder="1" applyAlignment="1">
      <alignment vertical="center"/>
    </xf>
    <xf numFmtId="0" fontId="29" fillId="0" borderId="2" xfId="1" applyFont="1" applyBorder="1" applyAlignment="1">
      <alignment vertical="center"/>
    </xf>
    <xf numFmtId="0" fontId="29" fillId="0" borderId="21" xfId="1" applyFont="1" applyBorder="1" applyAlignment="1">
      <alignment horizontal="center" vertical="center"/>
    </xf>
    <xf numFmtId="0" fontId="44" fillId="2" borderId="22" xfId="1" applyFont="1" applyFill="1" applyBorder="1" applyAlignment="1">
      <alignment horizontal="center" vertical="center"/>
    </xf>
    <xf numFmtId="0" fontId="45" fillId="0" borderId="23" xfId="1" applyFont="1" applyBorder="1" applyAlignment="1">
      <alignment horizontal="center" vertical="center"/>
    </xf>
    <xf numFmtId="0" fontId="14" fillId="0" borderId="0" xfId="0" applyFont="1">
      <alignment vertical="center"/>
    </xf>
    <xf numFmtId="0" fontId="45" fillId="0" borderId="18" xfId="1" applyFont="1" applyBorder="1" applyAlignment="1">
      <alignment horizontal="center" vertical="center"/>
    </xf>
    <xf numFmtId="0" fontId="45" fillId="0" borderId="19" xfId="1" applyFont="1" applyBorder="1" applyAlignment="1">
      <alignment horizontal="center" vertical="center"/>
    </xf>
    <xf numFmtId="0" fontId="42" fillId="0" borderId="12" xfId="1" applyFont="1" applyBorder="1" applyAlignment="1">
      <alignment horizontal="center" vertical="center"/>
    </xf>
    <xf numFmtId="0" fontId="42" fillId="0" borderId="24" xfId="1" applyFont="1" applyBorder="1" applyAlignment="1">
      <alignment horizontal="center" vertical="center"/>
    </xf>
    <xf numFmtId="0" fontId="45" fillId="0" borderId="12" xfId="1" applyFont="1" applyBorder="1" applyAlignment="1">
      <alignment horizontal="center"/>
    </xf>
    <xf numFmtId="183" fontId="37" fillId="0" borderId="7" xfId="1" applyNumberFormat="1" applyFont="1" applyBorder="1" applyAlignment="1">
      <alignment horizontal="center" vertical="center"/>
    </xf>
    <xf numFmtId="183" fontId="37" fillId="0" borderId="1" xfId="1" applyNumberFormat="1" applyFont="1" applyBorder="1" applyAlignment="1">
      <alignment horizontal="center" vertical="center"/>
    </xf>
    <xf numFmtId="183" fontId="37" fillId="0" borderId="17" xfId="1" applyNumberFormat="1" applyFont="1" applyBorder="1" applyAlignment="1">
      <alignment horizontal="center" vertical="center" wrapText="1"/>
    </xf>
    <xf numFmtId="183" fontId="37" fillId="0" borderId="2" xfId="1" applyNumberFormat="1" applyFont="1" applyBorder="1" applyAlignment="1">
      <alignment horizontal="center" vertical="center" wrapText="1"/>
    </xf>
    <xf numFmtId="183" fontId="37" fillId="0" borderId="1" xfId="1" applyNumberFormat="1" applyFont="1" applyBorder="1" applyAlignment="1">
      <alignment vertical="center"/>
    </xf>
    <xf numFmtId="183" fontId="40" fillId="0" borderId="2" xfId="1" applyNumberFormat="1" applyFont="1" applyBorder="1" applyAlignment="1">
      <alignment vertical="center" wrapText="1"/>
    </xf>
    <xf numFmtId="183" fontId="46" fillId="0" borderId="1" xfId="1" applyNumberFormat="1" applyFont="1" applyBorder="1" applyAlignment="1">
      <alignment horizontal="center" vertical="center"/>
    </xf>
    <xf numFmtId="0" fontId="46" fillId="0" borderId="1" xfId="1" applyFont="1" applyBorder="1" applyAlignment="1">
      <alignment horizontal="center" vertical="center"/>
    </xf>
    <xf numFmtId="178" fontId="37" fillId="0" borderId="18" xfId="1" applyNumberFormat="1" applyFont="1" applyBorder="1" applyAlignment="1">
      <alignment horizontal="center" vertical="center" shrinkToFit="1"/>
    </xf>
    <xf numFmtId="183" fontId="40" fillId="0" borderId="1" xfId="1" applyNumberFormat="1" applyFont="1" applyBorder="1" applyAlignment="1">
      <alignment horizontal="center" vertical="center"/>
    </xf>
    <xf numFmtId="183" fontId="37" fillId="0" borderId="4" xfId="1" applyNumberFormat="1" applyFont="1" applyBorder="1" applyAlignment="1">
      <alignment horizontal="center" vertical="center"/>
    </xf>
    <xf numFmtId="183" fontId="37" fillId="0" borderId="4" xfId="1" applyNumberFormat="1" applyFont="1" applyBorder="1" applyAlignment="1">
      <alignment horizontal="center" vertical="center" wrapText="1" shrinkToFit="1"/>
    </xf>
    <xf numFmtId="178" fontId="47" fillId="0" borderId="68" xfId="1" applyNumberFormat="1" applyFont="1" applyBorder="1" applyAlignment="1">
      <alignment horizontal="center" vertical="center"/>
    </xf>
    <xf numFmtId="0" fontId="34" fillId="0" borderId="1" xfId="0" applyFont="1" applyFill="1" applyBorder="1" applyAlignment="1">
      <alignment horizontal="center" vertical="center"/>
    </xf>
    <xf numFmtId="0" fontId="49" fillId="0" borderId="28" xfId="0" applyFont="1" applyBorder="1" applyAlignment="1">
      <alignment horizontal="center" vertical="center"/>
    </xf>
    <xf numFmtId="0" fontId="13" fillId="0" borderId="29" xfId="0" applyFont="1" applyBorder="1" applyAlignment="1">
      <alignment vertical="center"/>
    </xf>
    <xf numFmtId="176" fontId="50" fillId="0" borderId="1" xfId="0" quotePrefix="1" applyNumberFormat="1" applyFont="1" applyBorder="1" applyAlignment="1">
      <alignment horizontal="center" vertical="center"/>
    </xf>
    <xf numFmtId="179" fontId="50" fillId="0" borderId="1" xfId="0" applyNumberFormat="1" applyFont="1" applyBorder="1" applyAlignment="1">
      <alignment horizontal="center" vertical="center" wrapText="1"/>
    </xf>
    <xf numFmtId="0" fontId="51" fillId="0" borderId="1" xfId="0" applyFont="1" applyBorder="1" applyAlignment="1">
      <alignment horizontal="center" vertical="center"/>
    </xf>
    <xf numFmtId="0" fontId="50" fillId="0" borderId="3" xfId="0" applyFont="1" applyBorder="1" applyAlignment="1">
      <alignment horizontal="center" vertical="center"/>
    </xf>
    <xf numFmtId="178" fontId="53" fillId="0" borderId="68" xfId="1" applyNumberFormat="1" applyFont="1" applyBorder="1" applyAlignment="1">
      <alignment horizontal="center" vertical="center"/>
    </xf>
    <xf numFmtId="178" fontId="37" fillId="0" borderId="31" xfId="1" applyNumberFormat="1" applyFont="1" applyBorder="1" applyAlignment="1">
      <alignment horizontal="center" vertical="center"/>
    </xf>
    <xf numFmtId="0" fontId="37" fillId="0" borderId="7" xfId="1" applyFont="1" applyBorder="1" applyAlignment="1">
      <alignment horizontal="center" vertical="center"/>
    </xf>
    <xf numFmtId="183" fontId="46" fillId="0" borderId="71" xfId="1" applyNumberFormat="1" applyFont="1" applyBorder="1" applyAlignment="1">
      <alignment horizontal="left" vertical="center"/>
    </xf>
    <xf numFmtId="183" fontId="37" fillId="0" borderId="71" xfId="1" applyNumberFormat="1" applyFont="1" applyBorder="1" applyAlignment="1">
      <alignment horizontal="center" vertical="center"/>
    </xf>
    <xf numFmtId="183" fontId="37" fillId="0" borderId="32" xfId="1" applyNumberFormat="1" applyFont="1" applyBorder="1" applyAlignment="1">
      <alignment horizontal="center" vertical="center"/>
    </xf>
    <xf numFmtId="183" fontId="37" fillId="0" borderId="6" xfId="1" applyNumberFormat="1" applyFont="1" applyBorder="1" applyAlignment="1">
      <alignment horizontal="center" vertical="center" wrapText="1"/>
    </xf>
    <xf numFmtId="183" fontId="52" fillId="0" borderId="72" xfId="1" applyNumberFormat="1" applyFont="1" applyBorder="1" applyAlignment="1">
      <alignment horizontal="center" vertical="center"/>
    </xf>
    <xf numFmtId="183" fontId="37" fillId="0" borderId="71" xfId="1" applyNumberFormat="1" applyFont="1" applyBorder="1" applyAlignment="1">
      <alignment vertical="center" wrapText="1"/>
    </xf>
    <xf numFmtId="183" fontId="37" fillId="0" borderId="9" xfId="1" applyNumberFormat="1" applyFont="1" applyBorder="1" applyAlignment="1">
      <alignment horizontal="center" vertical="center" wrapText="1"/>
    </xf>
    <xf numFmtId="178" fontId="55" fillId="0" borderId="0" xfId="1" applyNumberFormat="1" applyFont="1" applyBorder="1" applyAlignment="1">
      <alignment vertical="center"/>
    </xf>
    <xf numFmtId="178" fontId="37" fillId="0" borderId="23" xfId="1" applyNumberFormat="1" applyFont="1" applyBorder="1" applyAlignment="1">
      <alignment horizontal="center" vertical="center"/>
    </xf>
    <xf numFmtId="178" fontId="41" fillId="0" borderId="33" xfId="1" applyNumberFormat="1" applyFont="1" applyBorder="1" applyAlignment="1">
      <alignment horizontal="center" vertical="center"/>
    </xf>
    <xf numFmtId="178" fontId="0" fillId="0" borderId="73" xfId="0" applyNumberFormat="1" applyBorder="1" applyAlignment="1">
      <alignment horizontal="center" vertical="center"/>
    </xf>
    <xf numFmtId="49" fontId="0" fillId="0" borderId="23" xfId="0" quotePrefix="1" applyNumberFormat="1" applyBorder="1" applyAlignment="1">
      <alignment horizontal="center" vertical="center"/>
    </xf>
    <xf numFmtId="49" fontId="0" fillId="0" borderId="18" xfId="0" quotePrefix="1" applyNumberFormat="1" applyBorder="1" applyAlignment="1">
      <alignment horizontal="center" vertical="center"/>
    </xf>
    <xf numFmtId="49" fontId="0" fillId="0" borderId="19" xfId="0" quotePrefix="1" applyNumberFormat="1" applyBorder="1" applyAlignment="1">
      <alignment horizontal="center" vertical="center"/>
    </xf>
    <xf numFmtId="0" fontId="0" fillId="0" borderId="12" xfId="0" applyFill="1" applyBorder="1" applyAlignment="1">
      <alignment horizontal="left" vertical="center"/>
    </xf>
    <xf numFmtId="49" fontId="0" fillId="0" borderId="34" xfId="0" quotePrefix="1" applyNumberFormat="1" applyBorder="1" applyAlignment="1">
      <alignment horizontal="center" vertical="center"/>
    </xf>
    <xf numFmtId="0" fontId="34" fillId="0" borderId="10" xfId="0" applyFont="1" applyFill="1" applyBorder="1" applyAlignment="1">
      <alignment horizontal="center" vertical="center"/>
    </xf>
    <xf numFmtId="0" fontId="0" fillId="0" borderId="10" xfId="0" applyFill="1" applyBorder="1" applyAlignment="1">
      <alignment horizontal="left" vertical="center"/>
    </xf>
    <xf numFmtId="0" fontId="0" fillId="2" borderId="10" xfId="0" applyFill="1" applyBorder="1">
      <alignment vertical="center"/>
    </xf>
    <xf numFmtId="0" fontId="0" fillId="2" borderId="10" xfId="0" applyFill="1" applyBorder="1" applyAlignment="1">
      <alignment horizontal="left" vertical="center"/>
    </xf>
    <xf numFmtId="0" fontId="34" fillId="0" borderId="0" xfId="0" applyFont="1" applyAlignment="1">
      <alignment horizontal="left" vertical="center"/>
    </xf>
    <xf numFmtId="49" fontId="50" fillId="0" borderId="2" xfId="0" applyNumberFormat="1" applyFont="1" applyBorder="1" applyAlignment="1">
      <alignment horizontal="center" vertical="center"/>
    </xf>
    <xf numFmtId="49" fontId="56" fillId="0" borderId="5" xfId="0" applyNumberFormat="1" applyFont="1" applyBorder="1" applyAlignment="1">
      <alignment horizontal="center" vertical="center"/>
    </xf>
    <xf numFmtId="49"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1" fontId="34" fillId="0" borderId="1" xfId="0" applyNumberFormat="1" applyFont="1" applyFill="1" applyBorder="1" applyAlignment="1">
      <alignment horizontal="center" vertical="center"/>
    </xf>
    <xf numFmtId="178" fontId="0" fillId="0" borderId="12" xfId="0" applyNumberFormat="1" applyFill="1" applyBorder="1" applyAlignment="1">
      <alignment horizontal="left" vertical="center"/>
    </xf>
    <xf numFmtId="183" fontId="58" fillId="0" borderId="4" xfId="1" applyNumberFormat="1" applyFont="1" applyBorder="1" applyAlignment="1">
      <alignment horizontal="center" vertical="center"/>
    </xf>
    <xf numFmtId="178" fontId="58" fillId="0" borderId="31" xfId="1" applyNumberFormat="1" applyFont="1" applyBorder="1" applyAlignment="1">
      <alignment horizontal="center" vertical="center" wrapText="1" shrinkToFit="1"/>
    </xf>
    <xf numFmtId="0" fontId="40" fillId="0" borderId="7" xfId="1" applyFont="1" applyBorder="1" applyAlignment="1">
      <alignment horizontal="center" vertical="center"/>
    </xf>
    <xf numFmtId="49" fontId="49" fillId="0" borderId="37" xfId="0" applyNumberFormat="1" applyFont="1" applyBorder="1" applyAlignment="1">
      <alignment horizontal="left" vertical="center"/>
    </xf>
    <xf numFmtId="0" fontId="60" fillId="0" borderId="10" xfId="1" applyFont="1" applyBorder="1" applyAlignment="1">
      <alignment horizontal="center" vertical="center"/>
    </xf>
    <xf numFmtId="0" fontId="60" fillId="0" borderId="1" xfId="1" applyFont="1" applyBorder="1" applyAlignment="1">
      <alignment horizontal="center" vertical="center"/>
    </xf>
    <xf numFmtId="181" fontId="60" fillId="0" borderId="38" xfId="1" applyNumberFormat="1" applyFont="1" applyBorder="1" applyAlignment="1">
      <alignment horizontal="center" vertical="center"/>
    </xf>
    <xf numFmtId="182" fontId="60" fillId="0" borderId="1" xfId="1" applyNumberFormat="1" applyFont="1" applyBorder="1" applyAlignment="1">
      <alignment horizontal="center" vertical="center"/>
    </xf>
    <xf numFmtId="181" fontId="60" fillId="0" borderId="1" xfId="1" applyNumberFormat="1" applyFont="1" applyBorder="1" applyAlignment="1">
      <alignment horizontal="center" vertical="center"/>
    </xf>
    <xf numFmtId="0" fontId="34" fillId="0" borderId="7" xfId="0" applyFont="1" applyFill="1" applyBorder="1" applyAlignment="1">
      <alignment horizontal="left" vertical="center"/>
    </xf>
    <xf numFmtId="0" fontId="34" fillId="0" borderId="7" xfId="0" applyFont="1" applyFill="1" applyBorder="1" applyAlignment="1">
      <alignment horizontal="center" vertical="center"/>
    </xf>
    <xf numFmtId="0" fontId="48" fillId="0" borderId="7" xfId="0" applyFont="1" applyFill="1" applyBorder="1" applyAlignment="1">
      <alignment horizontal="center" vertical="center"/>
    </xf>
    <xf numFmtId="178" fontId="0" fillId="0" borderId="77" xfId="0" applyNumberFormat="1" applyFill="1" applyBorder="1" applyAlignment="1">
      <alignment horizontal="left" vertical="center"/>
    </xf>
    <xf numFmtId="178" fontId="40" fillId="0" borderId="37" xfId="1" applyNumberFormat="1" applyFont="1" applyBorder="1" applyAlignment="1">
      <alignment horizontal="center" vertical="center" shrinkToFit="1"/>
    </xf>
    <xf numFmtId="183" fontId="37" fillId="0" borderId="35" xfId="1" applyNumberFormat="1" applyFont="1" applyBorder="1" applyAlignment="1">
      <alignment horizontal="center" vertical="center"/>
    </xf>
    <xf numFmtId="183" fontId="40" fillId="0" borderId="7" xfId="1" applyNumberFormat="1" applyFont="1" applyBorder="1" applyAlignment="1">
      <alignment horizontal="center" vertical="center"/>
    </xf>
    <xf numFmtId="183" fontId="40" fillId="0" borderId="78" xfId="1" applyNumberFormat="1" applyFont="1" applyBorder="1" applyAlignment="1">
      <alignment horizontal="center" vertical="center" wrapText="1"/>
    </xf>
    <xf numFmtId="183" fontId="37" fillId="0" borderId="1" xfId="1" applyNumberFormat="1" applyFont="1" applyBorder="1" applyAlignment="1">
      <alignment horizontal="center" vertical="center"/>
    </xf>
    <xf numFmtId="0" fontId="37" fillId="0" borderId="1" xfId="1" applyFont="1" applyBorder="1" applyAlignment="1">
      <alignment horizontal="center" vertical="center"/>
    </xf>
    <xf numFmtId="178" fontId="37" fillId="0" borderId="18" xfId="1" applyNumberFormat="1" applyFont="1" applyBorder="1" applyAlignment="1">
      <alignment horizontal="center" vertical="center"/>
    </xf>
    <xf numFmtId="0" fontId="28" fillId="0" borderId="40" xfId="1" applyFont="1" applyBorder="1" applyAlignment="1">
      <alignment horizontal="center" vertical="center"/>
    </xf>
    <xf numFmtId="0" fontId="49" fillId="0" borderId="14" xfId="0" applyFont="1" applyBorder="1" applyAlignment="1">
      <alignment horizontal="center" vertical="center"/>
    </xf>
    <xf numFmtId="0" fontId="61" fillId="0" borderId="41" xfId="1" applyFont="1" applyBorder="1" applyAlignment="1">
      <alignment horizontal="center" vertical="center"/>
    </xf>
    <xf numFmtId="0" fontId="62" fillId="0" borderId="0" xfId="0" applyFont="1">
      <alignment vertical="center"/>
    </xf>
    <xf numFmtId="0" fontId="63" fillId="0" borderId="5" xfId="1" applyFont="1" applyBorder="1" applyAlignment="1">
      <alignment horizontal="center" vertical="center"/>
    </xf>
    <xf numFmtId="0" fontId="64" fillId="0" borderId="5" xfId="1" applyFont="1" applyBorder="1" applyAlignment="1">
      <alignment horizontal="center" vertical="center"/>
    </xf>
    <xf numFmtId="0" fontId="65" fillId="0" borderId="21" xfId="1" applyFont="1" applyBorder="1" applyAlignment="1">
      <alignment horizontal="center" vertical="center"/>
    </xf>
    <xf numFmtId="0" fontId="63" fillId="0" borderId="42" xfId="1" applyFont="1" applyBorder="1" applyAlignment="1">
      <alignment horizontal="center" vertical="center"/>
    </xf>
    <xf numFmtId="0" fontId="35" fillId="0" borderId="0" xfId="0" applyFont="1">
      <alignment vertical="center"/>
    </xf>
    <xf numFmtId="0" fontId="32" fillId="0" borderId="0" xfId="0" applyFont="1" applyAlignment="1">
      <alignment horizontal="left" vertical="center"/>
    </xf>
    <xf numFmtId="0" fontId="32" fillId="0" borderId="0" xfId="0" applyFont="1">
      <alignment vertical="center"/>
    </xf>
    <xf numFmtId="14" fontId="32" fillId="0" borderId="0" xfId="0" applyNumberFormat="1" applyFont="1" applyAlignment="1">
      <alignment horizontal="right" vertical="center"/>
    </xf>
    <xf numFmtId="0" fontId="66" fillId="0" borderId="0" xfId="0" applyFont="1">
      <alignment vertical="center"/>
    </xf>
    <xf numFmtId="0" fontId="67" fillId="0" borderId="0" xfId="0" applyFont="1">
      <alignment vertical="center"/>
    </xf>
    <xf numFmtId="0" fontId="0" fillId="0" borderId="1" xfId="0" applyBorder="1">
      <alignment vertical="center"/>
    </xf>
    <xf numFmtId="0" fontId="35" fillId="0" borderId="1" xfId="0" applyFont="1" applyBorder="1">
      <alignment vertical="center"/>
    </xf>
    <xf numFmtId="58" fontId="35" fillId="0" borderId="1" xfId="0" quotePrefix="1" applyNumberFormat="1" applyFont="1" applyBorder="1" applyAlignment="1">
      <alignment horizontal="center" vertical="center"/>
    </xf>
    <xf numFmtId="0" fontId="35" fillId="0" borderId="8" xfId="0" applyFont="1" applyBorder="1" applyAlignment="1">
      <alignment horizontal="center" vertical="center"/>
    </xf>
    <xf numFmtId="0" fontId="35" fillId="0" borderId="8" xfId="0" applyFont="1" applyBorder="1" applyAlignment="1">
      <alignment horizontal="right" vertical="center"/>
    </xf>
    <xf numFmtId="0" fontId="35" fillId="0" borderId="8" xfId="0" applyFont="1" applyBorder="1" applyAlignment="1">
      <alignment horizontal="left" vertical="center"/>
    </xf>
    <xf numFmtId="0" fontId="42" fillId="0" borderId="12" xfId="1" applyFont="1" applyBorder="1" applyAlignment="1">
      <alignment horizontal="center" vertical="center"/>
    </xf>
    <xf numFmtId="183" fontId="37" fillId="0" borderId="7" xfId="1" applyNumberFormat="1" applyFont="1" applyBorder="1" applyAlignment="1">
      <alignment horizontal="center" vertical="center"/>
    </xf>
    <xf numFmtId="183" fontId="37" fillId="0" borderId="1" xfId="1" applyNumberFormat="1" applyFont="1" applyBorder="1" applyAlignment="1">
      <alignment horizontal="center" vertical="center"/>
    </xf>
    <xf numFmtId="183" fontId="40" fillId="0" borderId="1" xfId="1" applyNumberFormat="1" applyFont="1" applyBorder="1" applyAlignment="1">
      <alignment horizontal="center" vertical="center"/>
    </xf>
    <xf numFmtId="183" fontId="58" fillId="0" borderId="35" xfId="1" applyNumberFormat="1" applyFont="1" applyBorder="1" applyAlignment="1">
      <alignment horizontal="center" vertical="center"/>
    </xf>
    <xf numFmtId="182" fontId="60" fillId="0" borderId="10" xfId="1" applyNumberFormat="1" applyFont="1" applyBorder="1" applyAlignment="1">
      <alignment horizontal="center" vertical="center"/>
    </xf>
    <xf numFmtId="182" fontId="60" fillId="0" borderId="1" xfId="1" applyNumberFormat="1" applyFont="1" applyBorder="1" applyAlignment="1">
      <alignment horizontal="center" vertical="center"/>
    </xf>
    <xf numFmtId="0" fontId="34" fillId="0" borderId="1" xfId="0" applyFont="1" applyFill="1" applyBorder="1" applyAlignment="1">
      <alignment horizontal="left" vertical="center"/>
    </xf>
    <xf numFmtId="0" fontId="42" fillId="0" borderId="12" xfId="1" applyFont="1" applyBorder="1" applyAlignment="1">
      <alignment horizontal="center" vertical="center"/>
    </xf>
    <xf numFmtId="183" fontId="40" fillId="0" borderId="1" xfId="1" applyNumberFormat="1" applyFont="1" applyBorder="1" applyAlignment="1">
      <alignment horizontal="center" vertical="center"/>
    </xf>
    <xf numFmtId="0" fontId="48" fillId="0" borderId="1" xfId="0" applyFont="1" applyFill="1" applyBorder="1" applyAlignment="1">
      <alignment horizontal="center" vertical="center"/>
    </xf>
    <xf numFmtId="182" fontId="34" fillId="0" borderId="1" xfId="0" applyNumberFormat="1" applyFont="1" applyFill="1" applyBorder="1" applyAlignment="1">
      <alignment horizontal="center" vertical="center"/>
    </xf>
    <xf numFmtId="183" fontId="58" fillId="0" borderId="35" xfId="1" applyNumberFormat="1" applyFont="1" applyBorder="1" applyAlignment="1">
      <alignment horizontal="center" vertical="center"/>
    </xf>
    <xf numFmtId="182" fontId="60" fillId="0" borderId="10" xfId="1" applyNumberFormat="1" applyFont="1" applyBorder="1" applyAlignment="1">
      <alignment horizontal="center" vertical="center"/>
    </xf>
    <xf numFmtId="182" fontId="60" fillId="0" borderId="1" xfId="1" applyNumberFormat="1" applyFont="1" applyBorder="1" applyAlignment="1">
      <alignment horizontal="center" vertical="center"/>
    </xf>
    <xf numFmtId="0" fontId="35" fillId="0" borderId="1" xfId="0" applyFont="1" applyBorder="1" applyAlignment="1">
      <alignment horizontal="center" vertical="center"/>
    </xf>
    <xf numFmtId="182" fontId="68" fillId="0" borderId="1" xfId="1" applyNumberFormat="1" applyFont="1" applyBorder="1" applyAlignment="1">
      <alignment horizontal="center" vertical="center"/>
    </xf>
    <xf numFmtId="181" fontId="68" fillId="0" borderId="1" xfId="1" applyNumberFormat="1" applyFont="1" applyBorder="1" applyAlignment="1">
      <alignment horizontal="center" vertical="center"/>
    </xf>
    <xf numFmtId="183" fontId="69" fillId="0" borderId="78" xfId="1" applyNumberFormat="1" applyFont="1" applyBorder="1" applyAlignment="1">
      <alignment horizontal="center" vertical="center" wrapText="1"/>
    </xf>
    <xf numFmtId="14" fontId="35" fillId="0" borderId="10" xfId="0" applyNumberFormat="1" applyFont="1" applyBorder="1" applyAlignment="1">
      <alignment horizontal="center" vertical="center"/>
    </xf>
    <xf numFmtId="14" fontId="35" fillId="0" borderId="20" xfId="0" applyNumberFormat="1" applyFont="1" applyBorder="1" applyAlignment="1">
      <alignment horizontal="center" vertical="center"/>
    </xf>
    <xf numFmtId="0" fontId="70" fillId="0" borderId="10" xfId="0" applyFont="1" applyBorder="1" applyAlignment="1">
      <alignment horizontal="center" vertical="center"/>
    </xf>
    <xf numFmtId="0" fontId="0" fillId="0" borderId="10" xfId="0" applyBorder="1">
      <alignment vertical="center"/>
    </xf>
    <xf numFmtId="0" fontId="0" fillId="0" borderId="38" xfId="0" applyBorder="1">
      <alignment vertical="center"/>
    </xf>
    <xf numFmtId="0" fontId="35" fillId="0" borderId="7" xfId="0" applyFont="1" applyBorder="1" applyAlignment="1">
      <alignment horizontal="center" vertical="center"/>
    </xf>
    <xf numFmtId="0" fontId="0" fillId="0" borderId="7" xfId="0" applyBorder="1">
      <alignment vertical="center"/>
    </xf>
    <xf numFmtId="0" fontId="35" fillId="0" borderId="43" xfId="0" applyFont="1" applyBorder="1" applyAlignment="1">
      <alignment horizontal="center" vertical="center"/>
    </xf>
    <xf numFmtId="0" fontId="35" fillId="0" borderId="25" xfId="0" applyFont="1" applyBorder="1" applyAlignment="1">
      <alignment horizontal="center" vertical="center"/>
    </xf>
    <xf numFmtId="0" fontId="35" fillId="0" borderId="34" xfId="0" applyFont="1" applyBorder="1" applyAlignment="1">
      <alignment horizontal="center" vertical="center"/>
    </xf>
    <xf numFmtId="0" fontId="35" fillId="0" borderId="43" xfId="0" applyFont="1" applyBorder="1" applyAlignment="1">
      <alignment horizontal="center" vertical="center" wrapText="1"/>
    </xf>
    <xf numFmtId="0" fontId="71" fillId="0" borderId="43" xfId="0" applyFont="1" applyBorder="1" applyAlignment="1">
      <alignment horizontal="center" vertical="center" wrapText="1"/>
    </xf>
    <xf numFmtId="0" fontId="35" fillId="0" borderId="16" xfId="0" applyFont="1" applyBorder="1" applyAlignment="1">
      <alignment horizontal="center" vertical="center"/>
    </xf>
    <xf numFmtId="14" fontId="35" fillId="0" borderId="7" xfId="0" applyNumberFormat="1" applyFont="1" applyBorder="1" applyAlignment="1">
      <alignment horizontal="center" vertical="center"/>
    </xf>
    <xf numFmtId="0" fontId="70" fillId="0" borderId="7" xfId="0" applyFont="1" applyBorder="1" applyAlignment="1">
      <alignment horizontal="center" vertical="center"/>
    </xf>
    <xf numFmtId="0" fontId="0" fillId="0" borderId="26" xfId="0" applyBorder="1">
      <alignment vertical="center"/>
    </xf>
    <xf numFmtId="0" fontId="72" fillId="0" borderId="14" xfId="0" applyFont="1" applyBorder="1" applyAlignment="1">
      <alignment horizontal="center" vertical="center"/>
    </xf>
    <xf numFmtId="183" fontId="47" fillId="0" borderId="7" xfId="1" applyNumberFormat="1" applyFont="1" applyBorder="1" applyAlignment="1">
      <alignment horizontal="center" vertical="center"/>
    </xf>
    <xf numFmtId="183" fontId="47" fillId="0" borderId="1" xfId="1" applyNumberFormat="1" applyFont="1" applyBorder="1" applyAlignment="1">
      <alignment horizontal="center" vertical="center"/>
    </xf>
    <xf numFmtId="178" fontId="37" fillId="0" borderId="16" xfId="1" applyNumberFormat="1" applyFont="1" applyBorder="1" applyAlignment="1">
      <alignment horizontal="center" vertical="center" shrinkToFit="1"/>
    </xf>
    <xf numFmtId="0" fontId="35" fillId="0" borderId="7" xfId="0" applyFont="1" applyBorder="1" applyAlignment="1">
      <alignment horizontal="center" vertical="center"/>
    </xf>
    <xf numFmtId="0" fontId="35" fillId="0" borderId="12" xfId="0" applyFont="1" applyBorder="1" applyAlignment="1">
      <alignment horizontal="center" vertical="center"/>
    </xf>
    <xf numFmtId="0" fontId="70" fillId="0" borderId="12" xfId="0" applyFont="1" applyBorder="1" applyAlignment="1">
      <alignment horizontal="center" vertical="center"/>
    </xf>
    <xf numFmtId="0" fontId="0" fillId="0" borderId="12" xfId="0" applyBorder="1">
      <alignment vertical="center"/>
    </xf>
    <xf numFmtId="0" fontId="0" fillId="0" borderId="33" xfId="0" applyBorder="1">
      <alignment vertical="center"/>
    </xf>
    <xf numFmtId="0" fontId="62" fillId="0" borderId="1" xfId="0" applyFont="1" applyFill="1" applyBorder="1" applyAlignment="1">
      <alignment horizontal="center" vertical="center"/>
    </xf>
    <xf numFmtId="0" fontId="62" fillId="0" borderId="10" xfId="0" applyFont="1" applyFill="1" applyBorder="1" applyAlignment="1">
      <alignment horizontal="center" vertical="center"/>
    </xf>
    <xf numFmtId="0" fontId="72" fillId="0" borderId="41" xfId="0" applyFont="1" applyBorder="1" applyAlignment="1">
      <alignment horizontal="center" vertical="center"/>
    </xf>
    <xf numFmtId="0" fontId="72" fillId="0" borderId="40" xfId="0" applyFont="1" applyBorder="1" applyAlignment="1">
      <alignment horizontal="center" vertical="center"/>
    </xf>
    <xf numFmtId="182" fontId="73" fillId="0" borderId="10" xfId="0" applyNumberFormat="1" applyFont="1" applyFill="1" applyBorder="1" applyAlignment="1">
      <alignment horizontal="center" vertical="center"/>
    </xf>
    <xf numFmtId="0" fontId="51" fillId="0" borderId="1" xfId="0" applyFont="1" applyBorder="1" applyAlignment="1">
      <alignment horizontal="center" vertical="center"/>
    </xf>
    <xf numFmtId="49" fontId="75" fillId="0" borderId="2" xfId="0" applyNumberFormat="1" applyFont="1" applyBorder="1" applyAlignment="1">
      <alignment horizontal="center" vertical="center"/>
    </xf>
    <xf numFmtId="49" fontId="62" fillId="0" borderId="1" xfId="0" applyNumberFormat="1" applyFont="1" applyBorder="1" applyAlignment="1">
      <alignment horizontal="center" vertical="center"/>
    </xf>
    <xf numFmtId="0" fontId="0" fillId="2" borderId="1" xfId="0" applyFill="1" applyBorder="1" applyAlignment="1">
      <alignment horizontal="center" vertical="center"/>
    </xf>
    <xf numFmtId="0" fontId="0" fillId="4" borderId="44" xfId="0" applyFill="1" applyBorder="1" applyAlignment="1">
      <alignment horizontal="center" vertical="center"/>
    </xf>
    <xf numFmtId="0" fontId="0" fillId="4" borderId="12" xfId="0" applyFill="1" applyBorder="1" applyAlignment="1">
      <alignment horizontal="center" vertical="center"/>
    </xf>
    <xf numFmtId="0" fontId="0" fillId="4" borderId="12" xfId="0" applyFill="1" applyBorder="1">
      <alignment vertical="center"/>
    </xf>
    <xf numFmtId="183" fontId="40" fillId="0" borderId="8" xfId="1" applyNumberFormat="1" applyFont="1" applyBorder="1" applyAlignment="1">
      <alignment vertical="center" wrapText="1"/>
    </xf>
    <xf numFmtId="183" fontId="69" fillId="0" borderId="79" xfId="1" applyNumberFormat="1" applyFont="1" applyBorder="1" applyAlignment="1">
      <alignment horizontal="center" vertical="center" wrapText="1"/>
    </xf>
    <xf numFmtId="183" fontId="37" fillId="0" borderId="80" xfId="1" applyNumberFormat="1" applyFont="1" applyBorder="1" applyAlignment="1">
      <alignment horizontal="center" vertical="center"/>
    </xf>
    <xf numFmtId="183" fontId="46" fillId="0" borderId="80" xfId="1" applyNumberFormat="1" applyFont="1" applyBorder="1" applyAlignment="1">
      <alignment horizontal="left" vertical="center"/>
    </xf>
    <xf numFmtId="183" fontId="37" fillId="0" borderId="1" xfId="1" applyNumberFormat="1" applyFont="1" applyBorder="1" applyAlignment="1">
      <alignment horizontal="center" vertical="center" wrapText="1"/>
    </xf>
    <xf numFmtId="183" fontId="37" fillId="0" borderId="1" xfId="1" applyNumberFormat="1" applyFont="1" applyBorder="1" applyAlignment="1">
      <alignment horizontal="center" vertical="center"/>
    </xf>
    <xf numFmtId="183" fontId="37" fillId="0" borderId="7" xfId="1" applyNumberFormat="1" applyFont="1" applyBorder="1" applyAlignment="1">
      <alignment horizontal="center" vertical="center" wrapText="1" shrinkToFit="1"/>
    </xf>
    <xf numFmtId="0" fontId="50" fillId="0" borderId="3" xfId="0" applyFont="1" applyBorder="1" applyAlignment="1">
      <alignment horizontal="center" vertical="center"/>
    </xf>
    <xf numFmtId="49" fontId="56" fillId="0" borderId="5" xfId="0" applyNumberFormat="1" applyFont="1" applyBorder="1" applyAlignment="1">
      <alignment horizontal="center" vertical="center"/>
    </xf>
    <xf numFmtId="0" fontId="77" fillId="0" borderId="0" xfId="8" applyFont="1" applyBorder="1" applyAlignment="1">
      <alignment vertical="center"/>
    </xf>
    <xf numFmtId="183" fontId="37" fillId="0" borderId="2" xfId="1" applyNumberFormat="1" applyFont="1" applyBorder="1" applyAlignment="1">
      <alignment horizontal="center" vertical="center"/>
    </xf>
    <xf numFmtId="183" fontId="37" fillId="0" borderId="2" xfId="1" applyNumberFormat="1" applyFont="1" applyBorder="1" applyAlignment="1">
      <alignment horizontal="center" vertical="center" wrapText="1"/>
    </xf>
    <xf numFmtId="0" fontId="12" fillId="0" borderId="10" xfId="0" applyFont="1" applyFill="1" applyBorder="1" applyAlignment="1">
      <alignment horizontal="center" vertical="center"/>
    </xf>
    <xf numFmtId="0" fontId="58" fillId="0" borderId="10" xfId="1" applyFont="1" applyBorder="1" applyAlignment="1">
      <alignment horizontal="center" vertical="center"/>
    </xf>
    <xf numFmtId="183" fontId="47" fillId="0" borderId="71" xfId="1" applyNumberFormat="1" applyFont="1" applyBorder="1" applyAlignment="1">
      <alignment vertical="center" wrapText="1"/>
    </xf>
    <xf numFmtId="183" fontId="76" fillId="3" borderId="1" xfId="7" applyNumberFormat="1" applyFont="1" applyFill="1" applyBorder="1" applyAlignment="1">
      <alignment horizontal="center" vertical="center"/>
    </xf>
    <xf numFmtId="178" fontId="37" fillId="6" borderId="16" xfId="1" applyNumberFormat="1" applyFont="1" applyFill="1" applyBorder="1" applyAlignment="1">
      <alignment horizontal="center" vertical="center" shrinkToFit="1"/>
    </xf>
    <xf numFmtId="178" fontId="41" fillId="0" borderId="17" xfId="1" applyNumberFormat="1" applyFont="1" applyBorder="1" applyAlignment="1">
      <alignment horizontal="center" vertical="center"/>
    </xf>
    <xf numFmtId="0" fontId="41" fillId="0" borderId="18" xfId="1" applyFont="1" applyBorder="1" applyAlignment="1">
      <alignment horizontal="center" vertical="center"/>
    </xf>
    <xf numFmtId="0" fontId="37" fillId="0" borderId="7" xfId="1" applyFont="1" applyBorder="1" applyAlignment="1">
      <alignment horizontal="center" vertical="center"/>
    </xf>
    <xf numFmtId="0" fontId="41" fillId="0" borderId="36" xfId="1" applyFont="1" applyBorder="1" applyAlignment="1">
      <alignment horizontal="center" vertical="center"/>
    </xf>
    <xf numFmtId="0" fontId="28" fillId="0" borderId="40" xfId="1" applyBorder="1" applyAlignment="1">
      <alignment horizontal="center" vertical="center"/>
    </xf>
    <xf numFmtId="0" fontId="35" fillId="0" borderId="24" xfId="0" applyFont="1" applyBorder="1" applyAlignment="1">
      <alignment horizontal="center" vertical="center"/>
    </xf>
    <xf numFmtId="0" fontId="35" fillId="0" borderId="5" xfId="0" applyFont="1" applyBorder="1" applyAlignment="1">
      <alignment horizontal="center" vertical="center"/>
    </xf>
    <xf numFmtId="0" fontId="35" fillId="0" borderId="45" xfId="0" applyFont="1" applyBorder="1" applyAlignment="1">
      <alignment horizontal="center" vertical="center"/>
    </xf>
    <xf numFmtId="14" fontId="78" fillId="0" borderId="46" xfId="0" applyNumberFormat="1" applyFont="1" applyBorder="1" applyAlignment="1">
      <alignment horizontal="center" vertical="center"/>
    </xf>
    <xf numFmtId="49" fontId="27" fillId="0" borderId="6" xfId="0" applyNumberFormat="1" applyFont="1" applyBorder="1" applyAlignment="1">
      <alignment horizontal="left" vertical="center"/>
    </xf>
    <xf numFmtId="0" fontId="79" fillId="0" borderId="0" xfId="0" applyFont="1">
      <alignment vertical="center"/>
    </xf>
    <xf numFmtId="0" fontId="73" fillId="0" borderId="1" xfId="0" applyFont="1" applyBorder="1" applyAlignment="1">
      <alignment horizontal="center" vertical="center"/>
    </xf>
    <xf numFmtId="0" fontId="44" fillId="0" borderId="18" xfId="1" applyFont="1" applyBorder="1" applyAlignment="1">
      <alignment horizontal="center" vertical="center"/>
    </xf>
    <xf numFmtId="183" fontId="40" fillId="0" borderId="2" xfId="1" applyNumberFormat="1" applyFont="1" applyBorder="1" applyAlignment="1">
      <alignment horizontal="center" vertical="center"/>
    </xf>
    <xf numFmtId="0" fontId="44" fillId="0" borderId="19" xfId="1" applyFont="1" applyBorder="1" applyAlignment="1">
      <alignment horizontal="center" vertical="center"/>
    </xf>
    <xf numFmtId="183" fontId="37" fillId="0" borderId="2" xfId="1" applyNumberFormat="1" applyFont="1" applyBorder="1" applyAlignment="1">
      <alignment horizontal="center" vertical="center" wrapText="1"/>
    </xf>
    <xf numFmtId="0" fontId="39" fillId="0" borderId="0" xfId="1" applyFont="1" applyBorder="1" applyAlignment="1">
      <alignment horizontal="center" vertical="center"/>
    </xf>
    <xf numFmtId="183" fontId="40" fillId="0" borderId="0" xfId="1" applyNumberFormat="1" applyFont="1" applyBorder="1" applyAlignment="1">
      <alignment vertical="center"/>
    </xf>
    <xf numFmtId="177" fontId="40" fillId="0" borderId="0" xfId="1" applyNumberFormat="1" applyFont="1" applyBorder="1" applyAlignment="1">
      <alignment vertical="center"/>
    </xf>
    <xf numFmtId="183" fontId="40" fillId="0" borderId="0" xfId="1" applyNumberFormat="1" applyFont="1" applyBorder="1" applyAlignment="1">
      <alignment vertical="center" wrapText="1"/>
    </xf>
    <xf numFmtId="183" fontId="37" fillId="0" borderId="10" xfId="1" applyNumberFormat="1" applyFont="1" applyBorder="1" applyAlignment="1">
      <alignment horizontal="center" vertical="center"/>
    </xf>
    <xf numFmtId="183" fontId="37" fillId="0" borderId="12" xfId="1" applyNumberFormat="1" applyFont="1" applyBorder="1" applyAlignment="1">
      <alignment horizontal="center" vertical="center"/>
    </xf>
    <xf numFmtId="183" fontId="37" fillId="0" borderId="12" xfId="1" applyNumberFormat="1" applyFont="1" applyBorder="1" applyAlignment="1">
      <alignment horizontal="center" vertical="center" wrapText="1"/>
    </xf>
    <xf numFmtId="183" fontId="46" fillId="0" borderId="12" xfId="1" applyNumberFormat="1" applyFont="1" applyBorder="1" applyAlignment="1">
      <alignment horizontal="center" vertical="center"/>
    </xf>
    <xf numFmtId="0" fontId="46" fillId="0" borderId="12" xfId="1" applyFont="1" applyBorder="1" applyAlignment="1">
      <alignment horizontal="center" vertical="center"/>
    </xf>
    <xf numFmtId="183" fontId="37" fillId="0" borderId="24" xfId="1" applyNumberFormat="1" applyFont="1" applyBorder="1" applyAlignment="1">
      <alignment horizontal="center" vertical="center" wrapText="1"/>
    </xf>
    <xf numFmtId="178" fontId="41" fillId="0" borderId="19" xfId="1" applyNumberFormat="1" applyFont="1" applyBorder="1" applyAlignment="1">
      <alignment horizontal="center" vertical="center"/>
    </xf>
    <xf numFmtId="178" fontId="37" fillId="3" borderId="18" xfId="1" applyNumberFormat="1" applyFont="1" applyFill="1" applyBorder="1" applyAlignment="1">
      <alignment horizontal="center" vertical="center" wrapText="1" shrinkToFit="1"/>
    </xf>
    <xf numFmtId="49" fontId="34" fillId="0" borderId="37" xfId="0" applyNumberFormat="1" applyFont="1" applyBorder="1" applyAlignment="1">
      <alignment horizontal="left" vertical="center"/>
    </xf>
    <xf numFmtId="0" fontId="0" fillId="0" borderId="0" xfId="0">
      <alignment vertical="center"/>
    </xf>
    <xf numFmtId="178" fontId="41" fillId="0" borderId="17" xfId="1" applyNumberFormat="1" applyFont="1" applyBorder="1" applyAlignment="1">
      <alignment horizontal="center" vertical="center"/>
    </xf>
    <xf numFmtId="183" fontId="37" fillId="0" borderId="1" xfId="1" applyNumberFormat="1" applyFont="1" applyBorder="1" applyAlignment="1">
      <alignment horizontal="center" vertical="center"/>
    </xf>
    <xf numFmtId="183" fontId="37" fillId="0" borderId="2" xfId="1" applyNumberFormat="1" applyFont="1" applyBorder="1" applyAlignment="1">
      <alignment horizontal="center" vertical="center"/>
    </xf>
    <xf numFmtId="0" fontId="58" fillId="3" borderId="10" xfId="1" applyFont="1" applyFill="1" applyBorder="1" applyAlignment="1">
      <alignment horizontal="center" vertical="center"/>
    </xf>
    <xf numFmtId="0" fontId="60" fillId="3" borderId="1" xfId="1" applyFont="1" applyFill="1" applyBorder="1" applyAlignment="1">
      <alignment horizontal="center" vertical="center"/>
    </xf>
    <xf numFmtId="178" fontId="40" fillId="0" borderId="31" xfId="1" applyNumberFormat="1" applyFont="1" applyBorder="1" applyAlignment="1">
      <alignment horizontal="center" vertical="center" shrinkToFit="1"/>
    </xf>
    <xf numFmtId="0" fontId="31" fillId="0" borderId="35" xfId="0" applyFont="1" applyBorder="1" applyAlignment="1">
      <alignment horizontal="center" vertical="center"/>
    </xf>
    <xf numFmtId="183" fontId="40" fillId="0" borderId="72" xfId="1" applyNumberFormat="1" applyFont="1" applyBorder="1" applyAlignment="1">
      <alignment horizontal="center" vertical="center" wrapText="1"/>
    </xf>
    <xf numFmtId="178" fontId="0" fillId="0" borderId="69" xfId="0" applyNumberFormat="1" applyFill="1" applyBorder="1" applyAlignment="1">
      <alignment horizontal="left" vertical="center"/>
    </xf>
    <xf numFmtId="183" fontId="37" fillId="0" borderId="26" xfId="1" applyNumberFormat="1" applyFont="1" applyBorder="1" applyAlignment="1">
      <alignment horizontal="center" vertical="center"/>
    </xf>
    <xf numFmtId="0" fontId="50" fillId="0" borderId="1" xfId="0" applyFont="1" applyBorder="1" applyAlignment="1">
      <alignment horizontal="center" vertical="center"/>
    </xf>
    <xf numFmtId="184" fontId="41" fillId="2" borderId="22" xfId="1" applyNumberFormat="1" applyFont="1" applyFill="1" applyBorder="1">
      <alignment vertical="center"/>
    </xf>
    <xf numFmtId="178" fontId="37" fillId="4" borderId="16" xfId="1" applyNumberFormat="1" applyFont="1" applyFill="1" applyBorder="1" applyAlignment="1">
      <alignment horizontal="center" vertical="center" shrinkToFit="1"/>
    </xf>
    <xf numFmtId="0" fontId="0" fillId="4" borderId="5" xfId="0" applyFill="1" applyBorder="1" applyAlignment="1">
      <alignment horizontal="center" vertical="center"/>
    </xf>
    <xf numFmtId="183" fontId="89" fillId="4" borderId="1" xfId="116" applyNumberFormat="1" applyFont="1" applyFill="1" applyBorder="1" applyAlignment="1">
      <alignment horizontal="center" vertical="center" wrapText="1"/>
    </xf>
    <xf numFmtId="0" fontId="0" fillId="4" borderId="1" xfId="0" applyFill="1" applyBorder="1" applyAlignment="1">
      <alignment horizontal="left" vertical="center"/>
    </xf>
    <xf numFmtId="49" fontId="90" fillId="0" borderId="2" xfId="0" applyNumberFormat="1" applyFont="1" applyBorder="1" applyAlignment="1">
      <alignment horizontal="center" vertical="center"/>
    </xf>
    <xf numFmtId="178" fontId="0" fillId="4" borderId="97" xfId="0" applyNumberFormat="1" applyFill="1" applyBorder="1" applyAlignment="1">
      <alignment horizontal="left" vertical="center"/>
    </xf>
    <xf numFmtId="0" fontId="0" fillId="0" borderId="56" xfId="0" applyBorder="1" applyAlignment="1">
      <alignment vertical="center"/>
    </xf>
    <xf numFmtId="0" fontId="0" fillId="0" borderId="57" xfId="0" applyBorder="1" applyAlignment="1">
      <alignment vertical="center"/>
    </xf>
    <xf numFmtId="0" fontId="0" fillId="0" borderId="58" xfId="0" applyBorder="1" applyAlignment="1">
      <alignment vertical="center"/>
    </xf>
    <xf numFmtId="182" fontId="91" fillId="0" borderId="10" xfId="0" applyNumberFormat="1" applyFont="1" applyFill="1" applyBorder="1" applyAlignment="1">
      <alignment horizontal="center" vertical="center"/>
    </xf>
    <xf numFmtId="183" fontId="58" fillId="0" borderId="1" xfId="1" applyNumberFormat="1" applyFont="1" applyBorder="1" applyAlignment="1">
      <alignment horizontal="center" vertical="center"/>
    </xf>
    <xf numFmtId="0" fontId="41" fillId="0" borderId="1" xfId="1" applyFont="1" applyBorder="1" applyAlignment="1">
      <alignment horizontal="center" vertical="center"/>
    </xf>
    <xf numFmtId="178" fontId="58" fillId="0" borderId="18" xfId="1" applyNumberFormat="1" applyFont="1" applyBorder="1" applyAlignment="1">
      <alignment horizontal="center" vertical="center" wrapText="1" shrinkToFit="1"/>
    </xf>
    <xf numFmtId="0" fontId="58" fillId="0" borderId="1" xfId="1" applyFont="1" applyBorder="1" applyAlignment="1">
      <alignment horizontal="center" vertical="center"/>
    </xf>
    <xf numFmtId="0" fontId="73" fillId="0" borderId="10" xfId="0" applyFont="1" applyFill="1" applyBorder="1" applyAlignment="1">
      <alignment horizontal="center" vertical="center"/>
    </xf>
    <xf numFmtId="0" fontId="49" fillId="0" borderId="40" xfId="0" applyFont="1" applyBorder="1" applyAlignment="1">
      <alignment horizontal="center" vertical="center"/>
    </xf>
    <xf numFmtId="0" fontId="0" fillId="0" borderId="0" xfId="0">
      <alignment vertical="center"/>
    </xf>
    <xf numFmtId="183" fontId="37" fillId="0" borderId="1" xfId="1" applyNumberFormat="1" applyFont="1" applyBorder="1" applyAlignment="1">
      <alignment horizontal="center" vertical="center" wrapText="1"/>
    </xf>
    <xf numFmtId="183" fontId="37" fillId="0" borderId="7" xfId="1" applyNumberFormat="1" applyFont="1" applyBorder="1" applyAlignment="1">
      <alignment horizontal="center" vertical="center"/>
    </xf>
    <xf numFmtId="183" fontId="37" fillId="0" borderId="1" xfId="1" applyNumberFormat="1" applyFont="1" applyBorder="1" applyAlignment="1">
      <alignment horizontal="center" vertical="center"/>
    </xf>
    <xf numFmtId="183" fontId="37" fillId="0" borderId="1" xfId="1" applyNumberFormat="1" applyFont="1" applyBorder="1" applyAlignment="1">
      <alignment vertical="center"/>
    </xf>
    <xf numFmtId="183" fontId="37" fillId="0" borderId="7" xfId="1" applyNumberFormat="1" applyFont="1" applyBorder="1" applyAlignment="1">
      <alignment horizontal="center" vertical="center" wrapText="1" shrinkToFit="1"/>
    </xf>
    <xf numFmtId="0" fontId="37" fillId="0" borderId="7" xfId="1" applyFont="1" applyBorder="1" applyAlignment="1">
      <alignment horizontal="center" vertical="center"/>
    </xf>
    <xf numFmtId="0" fontId="41" fillId="0" borderId="18" xfId="1" applyFont="1" applyBorder="1" applyAlignment="1">
      <alignment horizontal="center" vertical="center"/>
    </xf>
    <xf numFmtId="0" fontId="0" fillId="0" borderId="96" xfId="0" quotePrefix="1" applyNumberFormat="1" applyBorder="1" applyAlignment="1">
      <alignment horizontal="center" vertical="center"/>
    </xf>
    <xf numFmtId="0" fontId="0" fillId="0" borderId="97" xfId="0" quotePrefix="1" applyNumberFormat="1" applyBorder="1" applyAlignment="1">
      <alignment horizontal="center" vertical="center"/>
    </xf>
    <xf numFmtId="0" fontId="0" fillId="0" borderId="15" xfId="0" applyBorder="1" applyAlignment="1">
      <alignment horizontal="center" vertical="center"/>
    </xf>
    <xf numFmtId="183" fontId="37" fillId="0" borderId="2" xfId="1" applyNumberFormat="1" applyFont="1" applyBorder="1" applyAlignment="1">
      <alignment horizontal="center" vertical="center"/>
    </xf>
    <xf numFmtId="183" fontId="37" fillId="0" borderId="24" xfId="1" applyNumberFormat="1" applyFont="1" applyBorder="1" applyAlignment="1">
      <alignment horizontal="center" vertical="center"/>
    </xf>
    <xf numFmtId="0" fontId="49" fillId="0" borderId="15" xfId="0" applyFont="1" applyBorder="1" applyAlignment="1">
      <alignment horizontal="center" vertical="center"/>
    </xf>
    <xf numFmtId="183" fontId="37" fillId="0" borderId="2" xfId="1" applyNumberFormat="1" applyFont="1" applyBorder="1" applyAlignment="1">
      <alignment horizontal="center" vertical="center" wrapText="1"/>
    </xf>
    <xf numFmtId="181" fontId="68" fillId="0" borderId="2" xfId="1" applyNumberFormat="1" applyFont="1" applyBorder="1" applyAlignment="1">
      <alignment horizontal="center" vertical="center"/>
    </xf>
    <xf numFmtId="0" fontId="49" fillId="0" borderId="40" xfId="0" applyFont="1" applyBorder="1" applyAlignment="1">
      <alignment horizontal="center" vertical="center"/>
    </xf>
    <xf numFmtId="0" fontId="0" fillId="0" borderId="40" xfId="0" applyBorder="1" applyAlignment="1">
      <alignment horizontal="center" vertical="center"/>
    </xf>
    <xf numFmtId="183" fontId="37" fillId="0" borderId="84" xfId="1" applyNumberFormat="1" applyFont="1" applyBorder="1" applyAlignment="1">
      <alignment horizontal="center" vertical="center"/>
    </xf>
    <xf numFmtId="183" fontId="47" fillId="0" borderId="2" xfId="1" applyNumberFormat="1" applyFont="1" applyBorder="1" applyAlignment="1">
      <alignment horizontal="center" vertical="center"/>
    </xf>
    <xf numFmtId="183" fontId="40" fillId="0" borderId="2" xfId="1" applyNumberFormat="1" applyFont="1" applyBorder="1" applyAlignment="1">
      <alignment horizontal="center" vertical="center"/>
    </xf>
    <xf numFmtId="183" fontId="47" fillId="0" borderId="2" xfId="1" applyNumberFormat="1" applyFont="1" applyBorder="1" applyAlignment="1">
      <alignment horizontal="center" vertical="center" wrapText="1"/>
    </xf>
    <xf numFmtId="183" fontId="47" fillId="0" borderId="20" xfId="1" applyNumberFormat="1" applyFont="1" applyBorder="1" applyAlignment="1">
      <alignment horizontal="center" vertical="center"/>
    </xf>
    <xf numFmtId="183" fontId="37" fillId="0" borderId="9" xfId="1" applyNumberFormat="1" applyFont="1" applyBorder="1" applyAlignment="1">
      <alignment horizontal="center" vertical="center"/>
    </xf>
    <xf numFmtId="183" fontId="58" fillId="0" borderId="1" xfId="1" applyNumberFormat="1" applyFont="1" applyBorder="1" applyAlignment="1">
      <alignment horizontal="center" vertical="center"/>
    </xf>
    <xf numFmtId="183" fontId="37" fillId="0" borderId="20" xfId="1" applyNumberFormat="1" applyFont="1" applyBorder="1" applyAlignment="1">
      <alignment horizontal="center" vertical="center"/>
    </xf>
    <xf numFmtId="0" fontId="42" fillId="0" borderId="24" xfId="1" applyFont="1" applyBorder="1" applyAlignment="1">
      <alignment horizontal="center" vertical="center"/>
    </xf>
    <xf numFmtId="0" fontId="58" fillId="0" borderId="20" xfId="1" applyFont="1" applyBorder="1" applyAlignment="1">
      <alignment horizontal="center" vertical="center"/>
    </xf>
    <xf numFmtId="0" fontId="60" fillId="0" borderId="20" xfId="1" applyFont="1" applyBorder="1" applyAlignment="1">
      <alignment horizontal="center" vertical="center"/>
    </xf>
    <xf numFmtId="181" fontId="60" fillId="0" borderId="2" xfId="1" applyNumberFormat="1" applyFont="1" applyBorder="1" applyAlignment="1">
      <alignment horizontal="center" vertical="center"/>
    </xf>
    <xf numFmtId="183" fontId="58" fillId="0" borderId="6" xfId="1" applyNumberFormat="1" applyFont="1" applyBorder="1" applyAlignment="1">
      <alignment horizontal="center" vertical="center"/>
    </xf>
    <xf numFmtId="0" fontId="37" fillId="0" borderId="32" xfId="1" applyFont="1" applyBorder="1" applyAlignment="1">
      <alignment horizontal="center" vertical="center"/>
    </xf>
    <xf numFmtId="0" fontId="58" fillId="0" borderId="6" xfId="1" applyFont="1" applyBorder="1" applyAlignment="1">
      <alignment horizontal="center" vertical="center"/>
    </xf>
    <xf numFmtId="0" fontId="37" fillId="0" borderId="9" xfId="1" applyFont="1" applyBorder="1" applyAlignment="1">
      <alignment horizontal="center" vertical="center"/>
    </xf>
    <xf numFmtId="0" fontId="37" fillId="0" borderId="52" xfId="1" applyFont="1" applyBorder="1" applyAlignment="1">
      <alignment horizontal="center" vertical="center"/>
    </xf>
    <xf numFmtId="0" fontId="37" fillId="0" borderId="0" xfId="1" applyFont="1" applyBorder="1" applyAlignment="1">
      <alignment horizontal="center" vertical="center"/>
    </xf>
    <xf numFmtId="183" fontId="37" fillId="0" borderId="6" xfId="1" applyNumberFormat="1" applyFont="1" applyBorder="1" applyAlignment="1">
      <alignment horizontal="center" vertical="center"/>
    </xf>
    <xf numFmtId="183" fontId="37" fillId="0" borderId="8" xfId="1" applyNumberFormat="1" applyFont="1" applyBorder="1" applyAlignment="1">
      <alignment vertical="center"/>
    </xf>
    <xf numFmtId="0" fontId="46" fillId="0" borderId="2" xfId="1" applyFont="1" applyBorder="1" applyAlignment="1">
      <alignment horizontal="center" vertical="center"/>
    </xf>
    <xf numFmtId="0" fontId="4" fillId="0" borderId="0" xfId="131">
      <alignment vertical="center"/>
    </xf>
    <xf numFmtId="0" fontId="4" fillId="0" borderId="1" xfId="131" applyBorder="1">
      <alignment vertical="center"/>
    </xf>
    <xf numFmtId="183" fontId="37" fillId="0" borderId="1" xfId="1" applyNumberFormat="1" applyFont="1" applyBorder="1" applyAlignment="1">
      <alignment horizontal="center" vertical="center" wrapText="1" shrinkToFit="1"/>
    </xf>
    <xf numFmtId="0" fontId="4" fillId="0" borderId="1" xfId="131" applyBorder="1" applyAlignment="1">
      <alignment horizontal="center" vertical="center"/>
    </xf>
    <xf numFmtId="0" fontId="4" fillId="0" borderId="59" xfId="131" applyBorder="1" applyAlignment="1">
      <alignment horizontal="center" vertical="center"/>
    </xf>
    <xf numFmtId="183" fontId="37" fillId="0" borderId="18" xfId="1" applyNumberFormat="1" applyFont="1" applyBorder="1" applyAlignment="1">
      <alignment horizontal="center" vertical="center" wrapText="1" shrinkToFit="1"/>
    </xf>
    <xf numFmtId="0" fontId="40" fillId="0" borderId="16" xfId="1" applyFont="1" applyBorder="1" applyAlignment="1">
      <alignment horizontal="center" vertical="center"/>
    </xf>
    <xf numFmtId="0" fontId="40" fillId="0" borderId="18" xfId="1" applyFont="1" applyBorder="1" applyAlignment="1">
      <alignment horizontal="center" vertical="center"/>
    </xf>
    <xf numFmtId="183" fontId="37" fillId="0" borderId="10" xfId="1" applyNumberFormat="1" applyFont="1" applyBorder="1" applyAlignment="1">
      <alignment horizontal="center" vertical="center" wrapText="1" shrinkToFit="1"/>
    </xf>
    <xf numFmtId="183" fontId="58" fillId="0" borderId="10" xfId="1" applyNumberFormat="1" applyFont="1" applyBorder="1" applyAlignment="1">
      <alignment horizontal="center" vertical="center"/>
    </xf>
    <xf numFmtId="0" fontId="40" fillId="0" borderId="23" xfId="1" applyFont="1" applyBorder="1" applyAlignment="1">
      <alignment horizontal="center" vertical="center"/>
    </xf>
    <xf numFmtId="0" fontId="42" fillId="0" borderId="30" xfId="1" applyFont="1" applyBorder="1" applyAlignment="1">
      <alignment horizontal="center" vertical="center"/>
    </xf>
    <xf numFmtId="0" fontId="42" fillId="0" borderId="4" xfId="1" applyFont="1" applyBorder="1" applyAlignment="1">
      <alignment horizontal="center" vertical="center"/>
    </xf>
    <xf numFmtId="0" fontId="42" fillId="3" borderId="4" xfId="1" applyFont="1" applyFill="1" applyBorder="1" applyAlignment="1">
      <alignment horizontal="center" vertical="center"/>
    </xf>
    <xf numFmtId="0" fontId="42" fillId="3" borderId="31" xfId="1" applyFont="1" applyFill="1" applyBorder="1" applyAlignment="1">
      <alignment horizontal="center" vertical="center"/>
    </xf>
    <xf numFmtId="181" fontId="60" fillId="0" borderId="17" xfId="1" applyNumberFormat="1" applyFont="1" applyBorder="1" applyAlignment="1">
      <alignment horizontal="center" vertical="center"/>
    </xf>
    <xf numFmtId="181" fontId="60" fillId="3" borderId="1" xfId="1" applyNumberFormat="1" applyFont="1" applyFill="1" applyBorder="1" applyAlignment="1">
      <alignment horizontal="center" vertical="center"/>
    </xf>
    <xf numFmtId="0" fontId="60" fillId="3" borderId="18" xfId="1" applyFont="1" applyFill="1" applyBorder="1" applyAlignment="1">
      <alignment horizontal="center" vertical="center"/>
    </xf>
    <xf numFmtId="0" fontId="58" fillId="3" borderId="23" xfId="1" applyFont="1" applyFill="1" applyBorder="1" applyAlignment="1">
      <alignment horizontal="center" vertical="center"/>
    </xf>
    <xf numFmtId="0" fontId="40" fillId="6" borderId="7" xfId="1" applyFont="1" applyFill="1" applyBorder="1" applyAlignment="1">
      <alignment horizontal="center" vertical="center"/>
    </xf>
    <xf numFmtId="183" fontId="37" fillId="6" borderId="7" xfId="1" applyNumberFormat="1" applyFont="1" applyFill="1" applyBorder="1" applyAlignment="1">
      <alignment horizontal="center" vertical="center"/>
    </xf>
    <xf numFmtId="183" fontId="37" fillId="6" borderId="9" xfId="1" applyNumberFormat="1" applyFont="1" applyFill="1" applyBorder="1" applyAlignment="1">
      <alignment horizontal="center" vertical="center"/>
    </xf>
    <xf numFmtId="183" fontId="58" fillId="6" borderId="7" xfId="1" applyNumberFormat="1" applyFont="1" applyFill="1" applyBorder="1" applyAlignment="1">
      <alignment horizontal="center" vertical="center"/>
    </xf>
    <xf numFmtId="183" fontId="37" fillId="6" borderId="7" xfId="1" applyNumberFormat="1" applyFont="1" applyFill="1" applyBorder="1" applyAlignment="1">
      <alignment horizontal="center" vertical="center" wrapText="1" shrinkToFit="1"/>
    </xf>
    <xf numFmtId="183" fontId="37" fillId="6" borderId="1" xfId="1" applyNumberFormat="1" applyFont="1" applyFill="1" applyBorder="1" applyAlignment="1">
      <alignment horizontal="center" vertical="center"/>
    </xf>
    <xf numFmtId="0" fontId="37" fillId="6" borderId="9" xfId="1" applyFont="1" applyFill="1" applyBorder="1" applyAlignment="1">
      <alignment horizontal="center" vertical="center"/>
    </xf>
    <xf numFmtId="183" fontId="37" fillId="6" borderId="2" xfId="1" applyNumberFormat="1" applyFont="1" applyFill="1" applyBorder="1" applyAlignment="1">
      <alignment horizontal="center" vertical="center"/>
    </xf>
    <xf numFmtId="183" fontId="37" fillId="6" borderId="1" xfId="1" applyNumberFormat="1" applyFont="1" applyFill="1" applyBorder="1" applyAlignment="1">
      <alignment horizontal="center" vertical="center" wrapText="1"/>
    </xf>
    <xf numFmtId="178" fontId="37" fillId="0" borderId="1" xfId="1" applyNumberFormat="1" applyFont="1" applyBorder="1" applyAlignment="1">
      <alignment horizontal="center" vertical="center" shrinkToFit="1"/>
    </xf>
    <xf numFmtId="0" fontId="37" fillId="0" borderId="2" xfId="1" applyFont="1" applyBorder="1" applyAlignment="1">
      <alignment horizontal="center" vertical="center"/>
    </xf>
    <xf numFmtId="183" fontId="37" fillId="0" borderId="2" xfId="1" applyNumberFormat="1" applyFont="1" applyBorder="1" applyAlignment="1">
      <alignment vertical="center"/>
    </xf>
    <xf numFmtId="0" fontId="46" fillId="0" borderId="24" xfId="1" applyFont="1" applyBorder="1" applyAlignment="1">
      <alignment horizontal="center" vertical="center"/>
    </xf>
    <xf numFmtId="183" fontId="58" fillId="0" borderId="2" xfId="1" applyNumberFormat="1" applyFont="1" applyBorder="1" applyAlignment="1">
      <alignment horizontal="center" vertical="center"/>
    </xf>
    <xf numFmtId="183" fontId="37" fillId="0" borderId="52" xfId="1" applyNumberFormat="1" applyFont="1" applyBorder="1" applyAlignment="1">
      <alignment horizontal="center" vertical="center"/>
    </xf>
    <xf numFmtId="183" fontId="59" fillId="0" borderId="103" xfId="1" applyNumberFormat="1" applyFont="1" applyBorder="1" applyAlignment="1">
      <alignment horizontal="center" vertical="center"/>
    </xf>
    <xf numFmtId="0" fontId="45" fillId="0" borderId="33" xfId="1" applyFont="1" applyBorder="1" applyAlignment="1">
      <alignment horizontal="center"/>
    </xf>
    <xf numFmtId="0" fontId="37" fillId="6" borderId="1" xfId="1" applyFont="1" applyFill="1" applyBorder="1" applyAlignment="1">
      <alignment horizontal="center" vertical="center"/>
    </xf>
    <xf numFmtId="183" fontId="47" fillId="0" borderId="9" xfId="1" applyNumberFormat="1" applyFont="1" applyBorder="1" applyAlignment="1">
      <alignment horizontal="center" vertical="center"/>
    </xf>
    <xf numFmtId="183" fontId="37" fillId="0" borderId="29" xfId="1" applyNumberFormat="1" applyFont="1" applyBorder="1" applyAlignment="1">
      <alignment horizontal="center" vertical="center"/>
    </xf>
    <xf numFmtId="183" fontId="37" fillId="0" borderId="52" xfId="1" applyNumberFormat="1" applyFont="1" applyBorder="1" applyAlignment="1">
      <alignment horizontal="center" vertical="center" wrapText="1"/>
    </xf>
    <xf numFmtId="183" fontId="40" fillId="0" borderId="0" xfId="1" applyNumberFormat="1" applyFont="1" applyBorder="1" applyAlignment="1">
      <alignment horizontal="center" vertical="center" wrapText="1"/>
    </xf>
    <xf numFmtId="183" fontId="52" fillId="0" borderId="0" xfId="1" applyNumberFormat="1" applyFont="1" applyBorder="1" applyAlignment="1">
      <alignment horizontal="center" vertical="center"/>
    </xf>
    <xf numFmtId="181" fontId="58" fillId="6" borderId="23" xfId="89" applyNumberFormat="1" applyFont="1" applyFill="1" applyBorder="1" applyAlignment="1">
      <alignment horizontal="center" vertical="center"/>
    </xf>
    <xf numFmtId="181" fontId="58" fillId="6" borderId="38" xfId="89" applyNumberFormat="1" applyFont="1" applyFill="1" applyBorder="1" applyAlignment="1">
      <alignment horizontal="center" vertical="center"/>
    </xf>
    <xf numFmtId="182" fontId="58" fillId="6" borderId="18" xfId="89" applyNumberFormat="1" applyFont="1" applyFill="1" applyBorder="1" applyAlignment="1">
      <alignment horizontal="center" vertical="center"/>
    </xf>
    <xf numFmtId="182" fontId="58" fillId="6" borderId="17" xfId="89" applyNumberFormat="1" applyFont="1" applyFill="1" applyBorder="1" applyAlignment="1">
      <alignment horizontal="center" vertical="center"/>
    </xf>
    <xf numFmtId="0" fontId="37" fillId="6" borderId="18" xfId="89" applyFont="1" applyFill="1" applyBorder="1" applyAlignment="1">
      <alignment horizontal="center" vertical="center"/>
    </xf>
    <xf numFmtId="0" fontId="37" fillId="6" borderId="17" xfId="89" applyFont="1" applyFill="1" applyBorder="1" applyAlignment="1">
      <alignment horizontal="center" vertical="center"/>
    </xf>
    <xf numFmtId="183" fontId="59" fillId="0" borderId="0" xfId="1" applyNumberFormat="1" applyFont="1" applyBorder="1" applyAlignment="1">
      <alignment horizontal="center" vertical="center"/>
    </xf>
    <xf numFmtId="182" fontId="60" fillId="6" borderId="10" xfId="1" applyNumberFormat="1" applyFont="1" applyFill="1" applyBorder="1" applyAlignment="1">
      <alignment horizontal="center" vertical="center"/>
    </xf>
    <xf numFmtId="181" fontId="60" fillId="6" borderId="1" xfId="1" applyNumberFormat="1" applyFont="1" applyFill="1" applyBorder="1" applyAlignment="1">
      <alignment horizontal="center" vertical="center"/>
    </xf>
    <xf numFmtId="0" fontId="42" fillId="6" borderId="24" xfId="1" applyFont="1" applyFill="1" applyBorder="1" applyAlignment="1">
      <alignment horizontal="center" vertical="center"/>
    </xf>
    <xf numFmtId="182" fontId="95" fillId="0" borderId="10" xfId="1" applyNumberFormat="1" applyFont="1" applyBorder="1" applyAlignment="1">
      <alignment horizontal="center" vertical="center"/>
    </xf>
    <xf numFmtId="0" fontId="37" fillId="6" borderId="31" xfId="89" applyFont="1" applyFill="1" applyBorder="1" applyAlignment="1">
      <alignment horizontal="center" vertical="center"/>
    </xf>
    <xf numFmtId="0" fontId="37" fillId="6" borderId="30" xfId="89" applyFont="1" applyFill="1" applyBorder="1" applyAlignment="1">
      <alignment horizontal="center" vertical="center"/>
    </xf>
    <xf numFmtId="178" fontId="37" fillId="6" borderId="1" xfId="1" applyNumberFormat="1" applyFont="1" applyFill="1" applyBorder="1" applyAlignment="1">
      <alignment horizontal="center" vertical="center" shrinkToFit="1"/>
    </xf>
    <xf numFmtId="178" fontId="37" fillId="4" borderId="1" xfId="1" applyNumberFormat="1" applyFont="1" applyFill="1" applyBorder="1" applyAlignment="1">
      <alignment horizontal="center" vertical="center" shrinkToFit="1"/>
    </xf>
    <xf numFmtId="182" fontId="37" fillId="6" borderId="1" xfId="1" applyNumberFormat="1" applyFont="1" applyFill="1" applyBorder="1" applyAlignment="1">
      <alignment horizontal="center" vertical="center"/>
    </xf>
    <xf numFmtId="183" fontId="37" fillId="0" borderId="26" xfId="1" quotePrefix="1" applyNumberFormat="1" applyFont="1" applyBorder="1" applyAlignment="1">
      <alignment horizontal="center" vertical="center"/>
    </xf>
    <xf numFmtId="178" fontId="52" fillId="0" borderId="1" xfId="1" applyNumberFormat="1" applyFont="1" applyBorder="1" applyAlignment="1">
      <alignment horizontal="center" vertical="center"/>
    </xf>
    <xf numFmtId="0" fontId="42" fillId="0" borderId="6" xfId="1" applyFont="1" applyBorder="1" applyAlignment="1">
      <alignment horizontal="center" vertical="center"/>
    </xf>
    <xf numFmtId="183" fontId="52" fillId="0" borderId="1" xfId="1" applyNumberFormat="1" applyFont="1" applyBorder="1" applyAlignment="1">
      <alignment horizontal="center" vertical="center"/>
    </xf>
    <xf numFmtId="183" fontId="52" fillId="6" borderId="1" xfId="1" applyNumberFormat="1" applyFont="1" applyFill="1" applyBorder="1" applyAlignment="1">
      <alignment horizontal="center" vertical="center"/>
    </xf>
    <xf numFmtId="179" fontId="59" fillId="0" borderId="51" xfId="1" applyNumberFormat="1" applyFont="1" applyBorder="1" applyAlignment="1">
      <alignment horizontal="center" vertical="center" wrapText="1"/>
    </xf>
    <xf numFmtId="179" fontId="52" fillId="6" borderId="1" xfId="1" applyNumberFormat="1" applyFont="1" applyFill="1" applyBorder="1" applyAlignment="1">
      <alignment horizontal="center" vertical="center" wrapText="1"/>
    </xf>
    <xf numFmtId="179" fontId="52" fillId="6" borderId="1" xfId="1" quotePrefix="1" applyNumberFormat="1" applyFont="1" applyFill="1" applyBorder="1" applyAlignment="1">
      <alignment horizontal="center" vertical="center" wrapText="1"/>
    </xf>
    <xf numFmtId="0" fontId="96" fillId="0" borderId="1" xfId="0" applyFont="1" applyBorder="1">
      <alignment vertical="center"/>
    </xf>
    <xf numFmtId="179" fontId="52" fillId="0" borderId="1" xfId="1" applyNumberFormat="1" applyFont="1" applyBorder="1" applyAlignment="1">
      <alignment horizontal="center" vertical="center" wrapText="1"/>
    </xf>
    <xf numFmtId="183" fontId="52" fillId="6" borderId="70" xfId="1" applyNumberFormat="1" applyFont="1" applyFill="1" applyBorder="1" applyAlignment="1">
      <alignment horizontal="center" vertical="center"/>
    </xf>
    <xf numFmtId="183" fontId="52" fillId="6" borderId="76" xfId="1" applyNumberFormat="1" applyFont="1" applyFill="1" applyBorder="1" applyAlignment="1">
      <alignment horizontal="center" vertical="center"/>
    </xf>
    <xf numFmtId="183" fontId="52" fillId="6" borderId="75" xfId="1" applyNumberFormat="1" applyFont="1" applyFill="1" applyBorder="1" applyAlignment="1">
      <alignment horizontal="center" vertical="center"/>
    </xf>
    <xf numFmtId="183" fontId="52" fillId="6" borderId="52" xfId="1" applyNumberFormat="1" applyFont="1" applyFill="1" applyBorder="1" applyAlignment="1">
      <alignment horizontal="center" vertical="center"/>
    </xf>
    <xf numFmtId="0" fontId="52" fillId="6" borderId="1" xfId="1" applyFont="1" applyFill="1" applyBorder="1" applyAlignment="1">
      <alignment horizontal="center" vertical="center"/>
    </xf>
    <xf numFmtId="178" fontId="52" fillId="6" borderId="68" xfId="1" applyNumberFormat="1" applyFont="1" applyFill="1" applyBorder="1" applyAlignment="1">
      <alignment horizontal="center" vertical="center"/>
    </xf>
    <xf numFmtId="179" fontId="93" fillId="6" borderId="2" xfId="1" applyNumberFormat="1" applyFont="1" applyFill="1" applyBorder="1" applyAlignment="1">
      <alignment horizontal="center" vertical="center"/>
    </xf>
    <xf numFmtId="179" fontId="93" fillId="6" borderId="1" xfId="1" applyNumberFormat="1" applyFont="1" applyFill="1" applyBorder="1" applyAlignment="1">
      <alignment horizontal="center" vertical="center"/>
    </xf>
    <xf numFmtId="179" fontId="57" fillId="6" borderId="72" xfId="1" applyNumberFormat="1" applyFont="1" applyFill="1" applyBorder="1" applyAlignment="1">
      <alignment horizontal="center" vertical="center" wrapText="1"/>
    </xf>
    <xf numFmtId="179" fontId="57" fillId="6" borderId="0" xfId="1" applyNumberFormat="1" applyFont="1" applyFill="1" applyBorder="1" applyAlignment="1">
      <alignment horizontal="center" vertical="center" wrapText="1"/>
    </xf>
    <xf numFmtId="178" fontId="59" fillId="6" borderId="68" xfId="1" applyNumberFormat="1" applyFont="1" applyFill="1" applyBorder="1" applyAlignment="1">
      <alignment horizontal="center" vertical="center"/>
    </xf>
    <xf numFmtId="0" fontId="48" fillId="4" borderId="1" xfId="0" applyFont="1" applyFill="1" applyBorder="1" applyAlignment="1">
      <alignment horizontal="center" vertical="center"/>
    </xf>
    <xf numFmtId="0" fontId="0" fillId="4" borderId="7" xfId="0" applyFill="1" applyBorder="1" applyAlignment="1">
      <alignment horizontal="left" vertical="center"/>
    </xf>
    <xf numFmtId="178" fontId="0" fillId="4" borderId="69" xfId="0" applyNumberFormat="1" applyFill="1" applyBorder="1" applyAlignment="1">
      <alignment horizontal="left" vertical="center"/>
    </xf>
    <xf numFmtId="0" fontId="34" fillId="4" borderId="10" xfId="0" applyFont="1" applyFill="1" applyBorder="1" applyAlignment="1">
      <alignment horizontal="left" vertical="center"/>
    </xf>
    <xf numFmtId="0" fontId="34" fillId="4" borderId="10" xfId="0" applyFont="1" applyFill="1" applyBorder="1" applyAlignment="1">
      <alignment horizontal="center" vertical="center"/>
    </xf>
    <xf numFmtId="0" fontId="48" fillId="4" borderId="10" xfId="0" applyFont="1" applyFill="1" applyBorder="1" applyAlignment="1">
      <alignment horizontal="center" vertical="center"/>
    </xf>
    <xf numFmtId="182" fontId="91" fillId="4" borderId="10" xfId="0" applyNumberFormat="1" applyFont="1" applyFill="1" applyBorder="1" applyAlignment="1">
      <alignment horizontal="center" vertical="center"/>
    </xf>
    <xf numFmtId="0" fontId="62" fillId="4" borderId="10" xfId="0" applyFont="1" applyFill="1" applyBorder="1" applyAlignment="1">
      <alignment horizontal="center" vertical="center"/>
    </xf>
    <xf numFmtId="0" fontId="12" fillId="4" borderId="10" xfId="0" applyFont="1" applyFill="1" applyBorder="1" applyAlignment="1">
      <alignment horizontal="center" vertical="center"/>
    </xf>
    <xf numFmtId="178" fontId="0" fillId="4" borderId="96" xfId="0" applyNumberFormat="1" applyFill="1" applyBorder="1" applyAlignment="1">
      <alignment horizontal="left" vertical="center"/>
    </xf>
    <xf numFmtId="0" fontId="34" fillId="4" borderId="1" xfId="0" applyFont="1" applyFill="1" applyBorder="1" applyAlignment="1">
      <alignment horizontal="left" vertical="center"/>
    </xf>
    <xf numFmtId="0" fontId="34" fillId="4" borderId="1" xfId="0" applyFont="1" applyFill="1" applyBorder="1" applyAlignment="1">
      <alignment horizontal="center" vertical="center"/>
    </xf>
    <xf numFmtId="182" fontId="74" fillId="4" borderId="10" xfId="0" applyNumberFormat="1" applyFont="1" applyFill="1" applyBorder="1" applyAlignment="1">
      <alignment horizontal="center" vertical="center"/>
    </xf>
    <xf numFmtId="182" fontId="34" fillId="4" borderId="1" xfId="0" applyNumberFormat="1" applyFont="1" applyFill="1" applyBorder="1" applyAlignment="1">
      <alignment horizontal="center" vertical="center"/>
    </xf>
    <xf numFmtId="0" fontId="62" fillId="4" borderId="1" xfId="0" applyFont="1" applyFill="1" applyBorder="1" applyAlignment="1">
      <alignment horizontal="center" vertical="center"/>
    </xf>
    <xf numFmtId="1" fontId="34" fillId="4" borderId="1" xfId="0" applyNumberFormat="1" applyFont="1" applyFill="1" applyBorder="1" applyAlignment="1">
      <alignment horizontal="center" vertical="center"/>
    </xf>
    <xf numFmtId="0" fontId="74" fillId="4" borderId="10" xfId="0" applyFont="1" applyFill="1" applyBorder="1" applyAlignment="1">
      <alignment horizontal="center" vertical="center"/>
    </xf>
    <xf numFmtId="178" fontId="0" fillId="6" borderId="69" xfId="0" applyNumberFormat="1" applyFill="1" applyBorder="1" applyAlignment="1">
      <alignment horizontal="left" vertical="center"/>
    </xf>
    <xf numFmtId="0" fontId="0" fillId="6" borderId="1" xfId="0" applyFill="1" applyBorder="1" applyAlignment="1">
      <alignment horizontal="left" vertical="center"/>
    </xf>
    <xf numFmtId="0" fontId="0" fillId="6" borderId="2" xfId="0" applyFill="1" applyBorder="1" applyAlignment="1">
      <alignment horizontal="left" vertical="center"/>
    </xf>
    <xf numFmtId="182" fontId="0" fillId="6" borderId="1" xfId="0" applyNumberFormat="1" applyFont="1" applyFill="1" applyBorder="1" applyAlignment="1">
      <alignment horizontal="center" vertical="center"/>
    </xf>
    <xf numFmtId="0" fontId="0" fillId="7" borderId="1" xfId="0" applyFill="1" applyBorder="1" applyAlignment="1">
      <alignment horizontal="center" vertical="center"/>
    </xf>
    <xf numFmtId="0" fontId="0" fillId="7" borderId="27" xfId="0" applyFill="1" applyBorder="1" applyAlignment="1">
      <alignment horizontal="center" vertical="center"/>
    </xf>
    <xf numFmtId="0" fontId="0" fillId="7" borderId="5" xfId="0" applyFill="1" applyBorder="1" applyAlignment="1">
      <alignment horizontal="center" vertical="center"/>
    </xf>
    <xf numFmtId="0" fontId="0" fillId="7" borderId="69" xfId="0" applyFill="1" applyBorder="1">
      <alignment vertical="center"/>
    </xf>
    <xf numFmtId="0" fontId="0" fillId="7" borderId="7" xfId="0" applyFill="1" applyBorder="1" applyAlignment="1">
      <alignment horizontal="left" vertical="center"/>
    </xf>
    <xf numFmtId="0" fontId="0" fillId="7" borderId="27" xfId="0" applyFill="1" applyBorder="1">
      <alignment vertical="center"/>
    </xf>
    <xf numFmtId="0" fontId="0" fillId="7" borderId="97" xfId="0" applyFill="1" applyBorder="1" applyAlignment="1">
      <alignment horizontal="center" vertical="center"/>
    </xf>
    <xf numFmtId="0" fontId="0" fillId="7" borderId="97" xfId="0" applyFill="1" applyBorder="1">
      <alignment vertical="center"/>
    </xf>
    <xf numFmtId="0" fontId="0" fillId="7" borderId="63" xfId="0" applyFill="1" applyBorder="1" applyAlignment="1">
      <alignment horizontal="center" vertical="center"/>
    </xf>
    <xf numFmtId="0" fontId="0" fillId="7" borderId="98" xfId="0" applyFill="1" applyBorder="1">
      <alignment vertical="center"/>
    </xf>
    <xf numFmtId="178" fontId="0" fillId="6" borderId="97" xfId="0" applyNumberFormat="1" applyFill="1" applyBorder="1" applyAlignment="1">
      <alignment horizontal="left" vertical="center"/>
    </xf>
    <xf numFmtId="183" fontId="97" fillId="0" borderId="1" xfId="1" applyNumberFormat="1" applyFont="1" applyBorder="1" applyAlignment="1">
      <alignment horizontal="center" vertical="center"/>
    </xf>
    <xf numFmtId="183" fontId="98" fillId="0" borderId="105" xfId="1" applyNumberFormat="1" applyFont="1" applyBorder="1" applyAlignment="1">
      <alignment horizontal="center" vertical="center"/>
    </xf>
    <xf numFmtId="183" fontId="98" fillId="0" borderId="104" xfId="1" applyNumberFormat="1" applyFont="1" applyBorder="1" applyAlignment="1">
      <alignment horizontal="center" vertical="center"/>
    </xf>
    <xf numFmtId="183" fontId="98" fillId="0" borderId="106" xfId="1" applyNumberFormat="1" applyFont="1" applyBorder="1" applyAlignment="1">
      <alignment horizontal="center" vertical="center"/>
    </xf>
    <xf numFmtId="183" fontId="54" fillId="6" borderId="70" xfId="1" applyNumberFormat="1" applyFont="1" applyFill="1" applyBorder="1" applyAlignment="1">
      <alignment horizontal="center" vertical="center"/>
    </xf>
    <xf numFmtId="183" fontId="54" fillId="6" borderId="74" xfId="1" applyNumberFormat="1" applyFont="1" applyFill="1" applyBorder="1" applyAlignment="1">
      <alignment horizontal="center" vertical="center"/>
    </xf>
    <xf numFmtId="183" fontId="54" fillId="6" borderId="76" xfId="1" applyNumberFormat="1" applyFont="1" applyFill="1" applyBorder="1" applyAlignment="1">
      <alignment horizontal="center" vertical="center"/>
    </xf>
    <xf numFmtId="0" fontId="52" fillId="6" borderId="76" xfId="1" applyFont="1" applyFill="1" applyBorder="1" applyAlignment="1">
      <alignment horizontal="center" vertical="center"/>
    </xf>
    <xf numFmtId="178" fontId="58" fillId="6" borderId="68" xfId="1" applyNumberFormat="1" applyFont="1" applyFill="1" applyBorder="1" applyAlignment="1">
      <alignment horizontal="center" vertical="center"/>
    </xf>
    <xf numFmtId="183" fontId="37" fillId="6" borderId="5" xfId="1" applyNumberFormat="1" applyFont="1" applyFill="1" applyBorder="1" applyAlignment="1">
      <alignment horizontal="center" vertical="center"/>
    </xf>
    <xf numFmtId="179" fontId="54" fillId="6" borderId="72" xfId="1" applyNumberFormat="1" applyFont="1" applyFill="1" applyBorder="1" applyAlignment="1">
      <alignment horizontal="center" vertical="center" wrapText="1"/>
    </xf>
    <xf numFmtId="179" fontId="54" fillId="6" borderId="0" xfId="1" applyNumberFormat="1" applyFont="1" applyFill="1" applyBorder="1" applyAlignment="1">
      <alignment horizontal="center" vertical="center" wrapText="1"/>
    </xf>
    <xf numFmtId="0" fontId="37" fillId="6" borderId="0" xfId="1" applyFont="1" applyFill="1" applyBorder="1" applyAlignment="1">
      <alignment horizontal="center" vertical="center"/>
    </xf>
    <xf numFmtId="183" fontId="40" fillId="7" borderId="85" xfId="1" applyNumberFormat="1" applyFont="1" applyFill="1" applyBorder="1" applyAlignment="1">
      <alignment horizontal="center" vertical="center"/>
    </xf>
    <xf numFmtId="183" fontId="40" fillId="7" borderId="7" xfId="1" applyNumberFormat="1" applyFont="1" applyFill="1" applyBorder="1" applyAlignment="1">
      <alignment horizontal="center" vertical="center"/>
    </xf>
    <xf numFmtId="183" fontId="37" fillId="7" borderId="7" xfId="1" applyNumberFormat="1" applyFont="1" applyFill="1" applyBorder="1" applyAlignment="1">
      <alignment horizontal="center" vertical="center" wrapText="1" shrinkToFit="1"/>
    </xf>
    <xf numFmtId="0" fontId="34" fillId="6" borderId="1" xfId="0" applyFont="1" applyFill="1" applyBorder="1" applyAlignment="1">
      <alignment horizontal="left" vertical="center"/>
    </xf>
    <xf numFmtId="182" fontId="34" fillId="0" borderId="5" xfId="0" applyNumberFormat="1" applyFont="1" applyFill="1" applyBorder="1" applyAlignment="1">
      <alignment horizontal="center" vertical="center"/>
    </xf>
    <xf numFmtId="0" fontId="34" fillId="0" borderId="4" xfId="0" applyFont="1" applyFill="1" applyBorder="1" applyAlignment="1">
      <alignment horizontal="left" vertical="center"/>
    </xf>
    <xf numFmtId="0" fontId="34" fillId="0" borderId="22" xfId="0" applyFont="1" applyFill="1" applyBorder="1" applyAlignment="1">
      <alignment horizontal="left" vertical="center"/>
    </xf>
    <xf numFmtId="0" fontId="0" fillId="0" borderId="60" xfId="0" quotePrefix="1" applyNumberFormat="1" applyBorder="1" applyAlignment="1">
      <alignment horizontal="center" vertical="center"/>
    </xf>
    <xf numFmtId="0" fontId="0" fillId="0" borderId="59" xfId="0" quotePrefix="1" applyNumberFormat="1" applyBorder="1" applyAlignment="1">
      <alignment horizontal="center" vertical="center"/>
    </xf>
    <xf numFmtId="0" fontId="0" fillId="4" borderId="59" xfId="0" applyFill="1" applyBorder="1" applyAlignment="1">
      <alignment horizontal="center" vertical="center"/>
    </xf>
    <xf numFmtId="0" fontId="0" fillId="7" borderId="59" xfId="0" applyFill="1" applyBorder="1" applyAlignment="1">
      <alignment horizontal="center" vertical="center"/>
    </xf>
    <xf numFmtId="0" fontId="0" fillId="7" borderId="14" xfId="0" applyFill="1" applyBorder="1" applyAlignment="1">
      <alignment horizontal="center" vertical="center"/>
    </xf>
    <xf numFmtId="0" fontId="0" fillId="0" borderId="19" xfId="0" applyBorder="1" applyAlignment="1">
      <alignment horizontal="center" vertical="center"/>
    </xf>
    <xf numFmtId="0" fontId="0" fillId="0" borderId="52" xfId="0" quotePrefix="1" applyNumberFormat="1" applyBorder="1" applyAlignment="1">
      <alignment horizontal="center" vertical="center"/>
    </xf>
    <xf numFmtId="0" fontId="12" fillId="7" borderId="36" xfId="0" applyFont="1" applyFill="1" applyBorder="1" applyAlignment="1">
      <alignment horizontal="left" vertical="center"/>
    </xf>
    <xf numFmtId="0" fontId="99" fillId="0" borderId="83" xfId="0" applyFont="1" applyBorder="1" applyAlignment="1">
      <alignment horizontal="center" vertical="center" wrapText="1"/>
    </xf>
    <xf numFmtId="0" fontId="58" fillId="6" borderId="10" xfId="1" applyFont="1" applyFill="1" applyBorder="1" applyAlignment="1">
      <alignment horizontal="center" vertical="center"/>
    </xf>
    <xf numFmtId="0" fontId="99" fillId="0" borderId="99" xfId="0" applyFont="1" applyBorder="1" applyAlignment="1">
      <alignment horizontal="center" vertical="center" wrapText="1"/>
    </xf>
    <xf numFmtId="183" fontId="37" fillId="7" borderId="7" xfId="1" applyNumberFormat="1" applyFont="1" applyFill="1" applyBorder="1" applyAlignment="1">
      <alignment horizontal="center" vertical="center"/>
    </xf>
    <xf numFmtId="0" fontId="42" fillId="6" borderId="12" xfId="1" applyFont="1" applyFill="1" applyBorder="1" applyAlignment="1">
      <alignment horizontal="center" vertical="center"/>
    </xf>
    <xf numFmtId="0" fontId="99" fillId="0" borderId="82" xfId="0" applyFont="1" applyBorder="1" applyAlignment="1">
      <alignment horizontal="center" vertical="center" wrapText="1"/>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0" fillId="0" borderId="29" xfId="0" applyBorder="1" applyAlignment="1">
      <alignment vertical="top"/>
    </xf>
    <xf numFmtId="0" fontId="0" fillId="2" borderId="98" xfId="0" applyFill="1" applyBorder="1">
      <alignment vertical="center"/>
    </xf>
    <xf numFmtId="181" fontId="60" fillId="6" borderId="2" xfId="1" applyNumberFormat="1" applyFont="1" applyFill="1" applyBorder="1" applyAlignment="1">
      <alignment horizontal="center" vertical="center"/>
    </xf>
    <xf numFmtId="0" fontId="60" fillId="6" borderId="1" xfId="1" applyFont="1" applyFill="1" applyBorder="1" applyAlignment="1">
      <alignment horizontal="center" vertical="center"/>
    </xf>
    <xf numFmtId="0" fontId="58" fillId="6" borderId="20" xfId="1" applyFont="1" applyFill="1" applyBorder="1" applyAlignment="1">
      <alignment horizontal="center" vertical="center"/>
    </xf>
    <xf numFmtId="183" fontId="37" fillId="7" borderId="85" xfId="1" applyNumberFormat="1" applyFont="1" applyFill="1" applyBorder="1" applyAlignment="1">
      <alignment horizontal="center" vertical="center"/>
    </xf>
    <xf numFmtId="0" fontId="0" fillId="0" borderId="0" xfId="0">
      <alignment vertical="center"/>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37" fillId="0" borderId="1" xfId="1" applyFont="1" applyBorder="1" applyAlignment="1">
      <alignment horizontal="center" vertical="center"/>
    </xf>
    <xf numFmtId="0" fontId="49" fillId="0" borderId="14" xfId="0" applyFont="1" applyBorder="1" applyAlignment="1">
      <alignment horizontal="center" vertical="center"/>
    </xf>
    <xf numFmtId="0" fontId="61" fillId="0" borderId="41" xfId="1" applyFont="1" applyBorder="1" applyAlignment="1">
      <alignment horizontal="center" vertical="center"/>
    </xf>
    <xf numFmtId="0" fontId="72" fillId="0" borderId="14" xfId="0" applyFont="1" applyBorder="1" applyAlignment="1">
      <alignment horizontal="center" vertical="center"/>
    </xf>
    <xf numFmtId="0" fontId="72" fillId="0" borderId="41" xfId="0" applyFont="1" applyBorder="1" applyAlignment="1">
      <alignment horizontal="center" vertical="center"/>
    </xf>
    <xf numFmtId="0" fontId="0" fillId="0" borderId="29" xfId="0" applyBorder="1" applyAlignment="1">
      <alignment vertical="top"/>
    </xf>
    <xf numFmtId="0" fontId="0" fillId="2" borderId="98" xfId="0" applyFill="1" applyBorder="1">
      <alignment vertical="center"/>
    </xf>
    <xf numFmtId="0" fontId="0" fillId="0" borderId="56" xfId="0" applyBorder="1" applyAlignment="1">
      <alignment vertical="center"/>
    </xf>
    <xf numFmtId="0" fontId="0" fillId="0" borderId="58" xfId="0" applyBorder="1" applyAlignment="1">
      <alignment vertical="center"/>
    </xf>
    <xf numFmtId="0" fontId="41" fillId="0" borderId="1" xfId="1" applyFont="1" applyBorder="1" applyAlignment="1">
      <alignment horizontal="center" vertical="center"/>
    </xf>
    <xf numFmtId="0" fontId="0" fillId="0" borderId="59" xfId="0" quotePrefix="1" applyNumberFormat="1" applyBorder="1" applyAlignment="1">
      <alignment horizontal="center" vertical="center"/>
    </xf>
    <xf numFmtId="183" fontId="40" fillId="0" borderId="1" xfId="1" applyNumberFormat="1" applyFont="1" applyBorder="1" applyAlignment="1">
      <alignment horizontal="center" vertical="center"/>
    </xf>
    <xf numFmtId="183" fontId="40" fillId="0" borderId="1" xfId="1" applyNumberFormat="1" applyFont="1" applyBorder="1" applyAlignment="1">
      <alignment horizontal="center" vertical="center" wrapText="1" shrinkToFit="1"/>
    </xf>
    <xf numFmtId="183" fontId="37" fillId="0" borderId="1" xfId="1" applyNumberFormat="1" applyFont="1" applyBorder="1" applyAlignment="1">
      <alignment horizontal="center" vertical="center"/>
    </xf>
    <xf numFmtId="178" fontId="40" fillId="0" borderId="16" xfId="1" applyNumberFormat="1" applyFont="1" applyBorder="1" applyAlignment="1">
      <alignment horizontal="center" vertical="center"/>
    </xf>
    <xf numFmtId="0" fontId="37" fillId="0" borderId="7" xfId="1" applyFont="1" applyBorder="1" applyAlignment="1">
      <alignment horizontal="center" vertical="center"/>
    </xf>
    <xf numFmtId="183" fontId="37" fillId="0" borderId="9" xfId="1" applyNumberFormat="1" applyFont="1" applyBorder="1" applyAlignment="1">
      <alignment horizontal="center" vertical="center"/>
    </xf>
    <xf numFmtId="178" fontId="40" fillId="0" borderId="16" xfId="1" applyNumberFormat="1" applyFont="1" applyBorder="1" applyAlignment="1">
      <alignment horizontal="center" vertical="center"/>
    </xf>
    <xf numFmtId="183" fontId="37" fillId="0" borderId="1" xfId="1" applyNumberFormat="1" applyFont="1" applyBorder="1" applyAlignment="1">
      <alignment horizontal="center" vertical="center"/>
    </xf>
    <xf numFmtId="183" fontId="40" fillId="0" borderId="1" xfId="1" applyNumberFormat="1" applyFont="1" applyBorder="1" applyAlignment="1">
      <alignment horizontal="center" vertical="center"/>
    </xf>
    <xf numFmtId="183" fontId="40" fillId="0" borderId="1" xfId="1" applyNumberFormat="1" applyFont="1" applyBorder="1" applyAlignment="1">
      <alignment horizontal="center" vertical="center" wrapText="1" shrinkToFit="1"/>
    </xf>
    <xf numFmtId="183" fontId="37" fillId="0" borderId="2" xfId="1" applyNumberFormat="1" applyFont="1" applyBorder="1" applyAlignment="1">
      <alignment horizontal="center" vertical="center"/>
    </xf>
    <xf numFmtId="0" fontId="37" fillId="0" borderId="7" xfId="1" applyFont="1"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8" borderId="2" xfId="0" applyFill="1" applyBorder="1" applyAlignment="1">
      <alignment horizontal="center" vertical="center"/>
    </xf>
    <xf numFmtId="0" fontId="0" fillId="8" borderId="5" xfId="0" applyFill="1" applyBorder="1" applyAlignment="1">
      <alignment horizontal="center" vertical="top"/>
    </xf>
    <xf numFmtId="0" fontId="0" fillId="8" borderId="1" xfId="0" applyFill="1" applyBorder="1" applyAlignment="1">
      <alignment horizontal="center" vertical="center"/>
    </xf>
    <xf numFmtId="0" fontId="0" fillId="8" borderId="27" xfId="0" applyFill="1" applyBorder="1" applyAlignment="1">
      <alignment horizontal="center" vertical="center"/>
    </xf>
    <xf numFmtId="184" fontId="41" fillId="2" borderId="22" xfId="1" applyNumberFormat="1" applyFont="1" applyFill="1" applyBorder="1">
      <alignment vertical="center"/>
    </xf>
    <xf numFmtId="0" fontId="0" fillId="4" borderId="5" xfId="0" applyFill="1" applyBorder="1" applyAlignment="1">
      <alignment horizontal="center" vertical="center"/>
    </xf>
    <xf numFmtId="0" fontId="0" fillId="4" borderId="1" xfId="0" applyFill="1" applyBorder="1" applyAlignment="1">
      <alignment horizontal="left" vertical="center"/>
    </xf>
    <xf numFmtId="49" fontId="90" fillId="0" borderId="2" xfId="0" applyNumberFormat="1" applyFont="1" applyBorder="1" applyAlignment="1">
      <alignment horizontal="center" vertical="center"/>
    </xf>
    <xf numFmtId="0" fontId="0" fillId="0" borderId="97" xfId="0" quotePrefix="1" applyNumberFormat="1" applyBorder="1" applyAlignment="1">
      <alignment horizontal="center" vertical="center"/>
    </xf>
    <xf numFmtId="178" fontId="0" fillId="6" borderId="97" xfId="0" applyNumberFormat="1" applyFill="1" applyBorder="1" applyAlignment="1">
      <alignment horizontal="left" vertical="center"/>
    </xf>
    <xf numFmtId="0" fontId="47" fillId="6" borderId="1" xfId="1" applyFont="1" applyFill="1" applyBorder="1" applyAlignment="1">
      <alignment horizontal="center" vertical="center"/>
    </xf>
    <xf numFmtId="0" fontId="101" fillId="0" borderId="0" xfId="0" applyFont="1">
      <alignment vertical="center"/>
    </xf>
    <xf numFmtId="0" fontId="31" fillId="2" borderId="22" xfId="1" applyFont="1" applyFill="1" applyBorder="1" applyAlignment="1">
      <alignment vertical="center"/>
    </xf>
    <xf numFmtId="0" fontId="0" fillId="0" borderId="0" xfId="0">
      <alignment vertical="center"/>
    </xf>
    <xf numFmtId="49" fontId="56" fillId="0" borderId="5" xfId="0" applyNumberFormat="1" applyFont="1" applyBorder="1" applyAlignment="1">
      <alignment horizontal="center" vertical="center"/>
    </xf>
    <xf numFmtId="183" fontId="47" fillId="6" borderId="1" xfId="1" applyNumberFormat="1" applyFont="1" applyFill="1" applyBorder="1" applyAlignment="1">
      <alignment horizontal="center" vertical="center"/>
    </xf>
    <xf numFmtId="178" fontId="14" fillId="5" borderId="1" xfId="0" applyNumberFormat="1" applyFont="1" applyFill="1" applyBorder="1" applyAlignment="1">
      <alignment horizontal="center" vertical="center" wrapText="1"/>
    </xf>
    <xf numFmtId="49" fontId="14" fillId="2" borderId="1" xfId="0" applyNumberFormat="1" applyFont="1" applyFill="1" applyBorder="1" applyAlignment="1">
      <alignment horizontal="center" vertical="center"/>
    </xf>
    <xf numFmtId="178" fontId="14" fillId="4" borderId="1" xfId="0" applyNumberFormat="1" applyFont="1" applyFill="1" applyBorder="1" applyAlignment="1">
      <alignment horizontal="center" vertical="center" wrapText="1"/>
    </xf>
    <xf numFmtId="0" fontId="0" fillId="4" borderId="3" xfId="0" applyFill="1" applyBorder="1" applyAlignment="1">
      <alignment horizontal="center" vertical="center"/>
    </xf>
    <xf numFmtId="0" fontId="0" fillId="9" borderId="2" xfId="0" applyFill="1" applyBorder="1" applyAlignment="1">
      <alignment horizontal="center" vertical="center"/>
    </xf>
    <xf numFmtId="0" fontId="0" fillId="9" borderId="1" xfId="0" applyFill="1" applyBorder="1" applyAlignment="1">
      <alignment horizontal="center" vertical="top"/>
    </xf>
    <xf numFmtId="0" fontId="0" fillId="9" borderId="1" xfId="0" applyFill="1" applyBorder="1" applyAlignment="1">
      <alignment horizontal="center" vertical="center"/>
    </xf>
    <xf numFmtId="0" fontId="0" fillId="9" borderId="27" xfId="0" applyFill="1" applyBorder="1" applyAlignment="1">
      <alignment horizontal="center" vertical="center"/>
    </xf>
    <xf numFmtId="0" fontId="0" fillId="0" borderId="0" xfId="0">
      <alignment vertical="center"/>
    </xf>
    <xf numFmtId="178" fontId="41" fillId="0" borderId="17" xfId="1" applyNumberFormat="1" applyFont="1" applyBorder="1" applyAlignment="1">
      <alignment horizontal="center" vertical="center"/>
    </xf>
    <xf numFmtId="0" fontId="41" fillId="0" borderId="18" xfId="1" applyFont="1" applyBorder="1" applyAlignment="1">
      <alignment horizontal="center" vertical="center"/>
    </xf>
    <xf numFmtId="183" fontId="37" fillId="0" borderId="1" xfId="1" applyNumberFormat="1" applyFont="1" applyBorder="1" applyAlignment="1">
      <alignment horizontal="center" vertical="center"/>
    </xf>
    <xf numFmtId="183" fontId="37" fillId="0" borderId="2" xfId="1" applyNumberFormat="1" applyFont="1" applyBorder="1" applyAlignment="1">
      <alignment horizontal="center" vertical="center"/>
    </xf>
    <xf numFmtId="0" fontId="37" fillId="0" borderId="7" xfId="1" applyFont="1" applyBorder="1" applyAlignment="1">
      <alignment horizontal="center" vertical="center"/>
    </xf>
    <xf numFmtId="0" fontId="41" fillId="0" borderId="36" xfId="1" applyFont="1" applyBorder="1" applyAlignment="1">
      <alignment horizontal="center" vertical="center"/>
    </xf>
    <xf numFmtId="178" fontId="41" fillId="0" borderId="38" xfId="1" applyNumberFormat="1" applyFont="1" applyBorder="1" applyAlignment="1">
      <alignment horizontal="center" vertical="center"/>
    </xf>
    <xf numFmtId="178" fontId="41" fillId="0" borderId="11" xfId="1" applyNumberFormat="1" applyFont="1" applyBorder="1" applyAlignment="1">
      <alignment horizontal="center" vertical="center"/>
    </xf>
    <xf numFmtId="183" fontId="37" fillId="10" borderId="1" xfId="1" applyNumberFormat="1" applyFont="1" applyFill="1" applyBorder="1" applyAlignment="1">
      <alignment horizontal="center" vertical="center"/>
    </xf>
    <xf numFmtId="0" fontId="37" fillId="10" borderId="7" xfId="1" applyFont="1" applyFill="1" applyBorder="1" applyAlignment="1">
      <alignment horizontal="center" vertical="center"/>
    </xf>
    <xf numFmtId="183" fontId="31" fillId="10" borderId="1" xfId="469" applyNumberFormat="1" applyFont="1" applyFill="1" applyBorder="1" applyAlignment="1">
      <alignment horizontal="center" vertical="center"/>
    </xf>
    <xf numFmtId="183" fontId="102" fillId="10" borderId="2" xfId="469" applyNumberFormat="1" applyFont="1" applyFill="1" applyBorder="1" applyAlignment="1">
      <alignment horizontal="center" vertical="center"/>
    </xf>
    <xf numFmtId="183" fontId="52" fillId="10" borderId="35" xfId="1" applyNumberFormat="1" applyFont="1" applyFill="1" applyBorder="1" applyAlignment="1">
      <alignment horizontal="center" vertical="center"/>
    </xf>
    <xf numFmtId="178" fontId="76" fillId="10" borderId="18" xfId="469" applyNumberFormat="1" applyFont="1" applyFill="1" applyBorder="1" applyAlignment="1">
      <alignment horizontal="center" vertical="center"/>
    </xf>
    <xf numFmtId="183" fontId="68" fillId="0" borderId="2" xfId="1" applyNumberFormat="1" applyFont="1" applyBorder="1" applyAlignment="1">
      <alignment horizontal="center" vertical="center"/>
    </xf>
    <xf numFmtId="183" fontId="68" fillId="0" borderId="3" xfId="1" applyNumberFormat="1" applyFont="1" applyBorder="1" applyAlignment="1">
      <alignment horizontal="center" vertical="center"/>
    </xf>
    <xf numFmtId="178" fontId="17" fillId="0" borderId="34" xfId="0" applyNumberFormat="1" applyFont="1" applyBorder="1" applyAlignment="1">
      <alignment horizontal="center" vertical="center"/>
    </xf>
    <xf numFmtId="178" fontId="17" fillId="0" borderId="54" xfId="0" applyNumberFormat="1" applyFont="1" applyBorder="1" applyAlignment="1">
      <alignment horizontal="center" vertical="center"/>
    </xf>
    <xf numFmtId="178" fontId="17" fillId="0" borderId="55" xfId="0" applyNumberFormat="1" applyFont="1" applyBorder="1" applyAlignment="1">
      <alignment horizontal="center" vertical="center"/>
    </xf>
    <xf numFmtId="0" fontId="80" fillId="0" borderId="0" xfId="0" applyFont="1" applyAlignment="1">
      <alignment horizontal="left" vertical="center" wrapText="1"/>
    </xf>
    <xf numFmtId="0" fontId="80" fillId="0" borderId="0" xfId="0" applyFont="1" applyAlignment="1">
      <alignment horizontal="left" vertical="center"/>
    </xf>
    <xf numFmtId="0" fontId="17" fillId="0" borderId="43" xfId="0" applyFont="1" applyBorder="1" applyAlignment="1">
      <alignment horizontal="center" vertical="center"/>
    </xf>
    <xf numFmtId="0" fontId="17" fillId="0" borderId="35" xfId="0" applyFont="1" applyBorder="1" applyAlignment="1">
      <alignment horizontal="center" vertical="center"/>
    </xf>
    <xf numFmtId="0" fontId="17" fillId="0" borderId="7" xfId="0" applyFont="1" applyBorder="1" applyAlignment="1">
      <alignment horizontal="center" vertical="center"/>
    </xf>
    <xf numFmtId="176" fontId="50" fillId="0" borderId="1" xfId="0" quotePrefix="1" applyNumberFormat="1" applyFont="1" applyBorder="1" applyAlignment="1">
      <alignment horizontal="center" vertical="center"/>
    </xf>
    <xf numFmtId="178" fontId="50" fillId="0" borderId="1" xfId="0" applyNumberFormat="1" applyFont="1" applyBorder="1" applyAlignment="1">
      <alignment horizontal="center" vertical="center"/>
    </xf>
    <xf numFmtId="0" fontId="50" fillId="0" borderId="2" xfId="0" applyFont="1" applyBorder="1" applyAlignment="1">
      <alignment horizontal="center" vertical="center"/>
    </xf>
    <xf numFmtId="0" fontId="50" fillId="0" borderId="5" xfId="0" applyFont="1" applyBorder="1" applyAlignment="1">
      <alignment horizontal="center" vertical="center"/>
    </xf>
    <xf numFmtId="0" fontId="0" fillId="0" borderId="4" xfId="0" applyBorder="1" applyAlignment="1">
      <alignment horizontal="center" vertical="center"/>
    </xf>
    <xf numFmtId="0" fontId="0" fillId="0" borderId="52" xfId="0" applyBorder="1" applyAlignment="1">
      <alignment horizontal="center" vertical="center"/>
    </xf>
    <xf numFmtId="0" fontId="0" fillId="0" borderId="9" xfId="0" applyBorder="1" applyAlignment="1">
      <alignment horizontal="center" vertical="center"/>
    </xf>
    <xf numFmtId="0" fontId="49" fillId="0" borderId="1" xfId="0" applyFont="1" applyBorder="1" applyAlignment="1">
      <alignment horizontal="center" vertical="center" wrapText="1"/>
    </xf>
    <xf numFmtId="0" fontId="0" fillId="0" borderId="4" xfId="0" applyBorder="1" applyAlignment="1">
      <alignment horizontal="left" vertical="center"/>
    </xf>
    <xf numFmtId="0" fontId="0" fillId="0" borderId="35"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22" fontId="14" fillId="0" borderId="2" xfId="0" applyNumberFormat="1" applyFont="1" applyBorder="1" applyAlignment="1">
      <alignment horizontal="center" vertical="center"/>
    </xf>
    <xf numFmtId="22" fontId="14" fillId="0" borderId="5" xfId="0" applyNumberFormat="1" applyFont="1" applyBorder="1" applyAlignment="1">
      <alignment horizontal="center" vertical="center"/>
    </xf>
    <xf numFmtId="0" fontId="12" fillId="0" borderId="1" xfId="0" applyFont="1"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37" xfId="0" applyBorder="1" applyAlignment="1">
      <alignment horizontal="center" vertical="center" wrapText="1"/>
    </xf>
    <xf numFmtId="0" fontId="0" fillId="0" borderId="52" xfId="0" applyBorder="1" applyAlignment="1">
      <alignment horizontal="center" vertical="center" wrapText="1"/>
    </xf>
    <xf numFmtId="0" fontId="0" fillId="0" borderId="0" xfId="0" applyBorder="1" applyAlignment="1">
      <alignment horizontal="center" vertical="center" wrapText="1"/>
    </xf>
    <xf numFmtId="0" fontId="0" fillId="0" borderId="53" xfId="0" applyBorder="1" applyAlignment="1">
      <alignment horizontal="center" vertical="center" wrapText="1"/>
    </xf>
    <xf numFmtId="0" fontId="17" fillId="0" borderId="34" xfId="0" applyFont="1" applyBorder="1" applyAlignment="1">
      <alignment horizontal="center" vertical="center"/>
    </xf>
    <xf numFmtId="0" fontId="17" fillId="0" borderId="54" xfId="0" applyFont="1" applyBorder="1" applyAlignment="1">
      <alignment horizontal="center" vertical="center"/>
    </xf>
    <xf numFmtId="0" fontId="17" fillId="0" borderId="55" xfId="0" applyFont="1" applyBorder="1" applyAlignment="1">
      <alignment horizontal="center" vertical="center"/>
    </xf>
    <xf numFmtId="0" fontId="0" fillId="0" borderId="35" xfId="0" applyBorder="1" applyAlignment="1">
      <alignment horizontal="center" vertical="center"/>
    </xf>
    <xf numFmtId="0" fontId="0" fillId="0" borderId="7" xfId="0" applyBorder="1" applyAlignment="1">
      <alignment horizontal="center" vertical="center"/>
    </xf>
    <xf numFmtId="0" fontId="0" fillId="0" borderId="4" xfId="0" applyFont="1" applyBorder="1" applyAlignment="1">
      <alignment horizontal="left" vertical="center"/>
    </xf>
    <xf numFmtId="0" fontId="0" fillId="0" borderId="7" xfId="0" applyFont="1" applyBorder="1" applyAlignment="1">
      <alignment horizontal="left" vertical="center"/>
    </xf>
    <xf numFmtId="0" fontId="17" fillId="0" borderId="34" xfId="0" applyFont="1" applyBorder="1" applyAlignment="1">
      <alignment horizontal="left" vertical="center"/>
    </xf>
    <xf numFmtId="0" fontId="17" fillId="0" borderId="54" xfId="0" applyFont="1" applyBorder="1" applyAlignment="1">
      <alignment horizontal="left" vertical="center"/>
    </xf>
    <xf numFmtId="0" fontId="17" fillId="0" borderId="55" xfId="0" applyFont="1" applyBorder="1" applyAlignment="1">
      <alignment horizontal="left" vertical="center"/>
    </xf>
    <xf numFmtId="178" fontId="12" fillId="0" borderId="1" xfId="0" applyNumberFormat="1" applyFont="1" applyBorder="1" applyAlignment="1">
      <alignment horizontal="center" vertical="center"/>
    </xf>
    <xf numFmtId="178" fontId="0" fillId="0" borderId="9" xfId="0" applyNumberFormat="1" applyBorder="1" applyAlignment="1">
      <alignment horizontal="center" vertical="center"/>
    </xf>
    <xf numFmtId="178" fontId="0" fillId="0" borderId="29" xfId="0" applyNumberFormat="1" applyBorder="1" applyAlignment="1">
      <alignment horizontal="center" vertical="center"/>
    </xf>
    <xf numFmtId="178" fontId="0" fillId="0" borderId="51" xfId="0" applyNumberFormat="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left" vertical="center"/>
    </xf>
    <xf numFmtId="0" fontId="0" fillId="0" borderId="5" xfId="0" applyBorder="1" applyAlignment="1">
      <alignment horizontal="left" vertical="center"/>
    </xf>
    <xf numFmtId="178" fontId="0" fillId="0" borderId="4" xfId="0" applyNumberFormat="1" applyBorder="1" applyAlignment="1">
      <alignment horizontal="left" vertical="center" wrapText="1"/>
    </xf>
    <xf numFmtId="178" fontId="0" fillId="0" borderId="35" xfId="0" applyNumberFormat="1" applyBorder="1" applyAlignment="1">
      <alignment horizontal="left" vertical="center"/>
    </xf>
    <xf numFmtId="178" fontId="0" fillId="0" borderId="7" xfId="0" applyNumberFormat="1" applyBorder="1" applyAlignment="1">
      <alignment horizontal="left" vertical="center"/>
    </xf>
    <xf numFmtId="22" fontId="14" fillId="0" borderId="1" xfId="0" applyNumberFormat="1" applyFont="1" applyBorder="1" applyAlignment="1">
      <alignment horizontal="center" vertical="center"/>
    </xf>
    <xf numFmtId="0" fontId="17" fillId="0" borderId="10" xfId="0" applyFont="1" applyBorder="1" applyAlignment="1">
      <alignment horizontal="center" vertical="center" wrapText="1"/>
    </xf>
    <xf numFmtId="0" fontId="17" fillId="0" borderId="1" xfId="0" applyFont="1" applyBorder="1" applyAlignment="1">
      <alignment horizontal="center" vertical="center"/>
    </xf>
    <xf numFmtId="0" fontId="17" fillId="0" borderId="13" xfId="0" applyFont="1" applyBorder="1" applyAlignment="1">
      <alignment horizontal="center" vertical="center"/>
    </xf>
    <xf numFmtId="178" fontId="17" fillId="0" borderId="43" xfId="0" applyNumberFormat="1" applyFont="1" applyBorder="1" applyAlignment="1">
      <alignment horizontal="center" vertical="center"/>
    </xf>
    <xf numFmtId="178" fontId="17" fillId="0" borderId="35" xfId="0" applyNumberFormat="1" applyFont="1" applyBorder="1" applyAlignment="1">
      <alignment horizontal="center" vertical="center"/>
    </xf>
    <xf numFmtId="178" fontId="17" fillId="0" borderId="7" xfId="0" applyNumberFormat="1" applyFont="1" applyBorder="1" applyAlignment="1">
      <alignment horizontal="center" vertical="center"/>
    </xf>
    <xf numFmtId="0" fontId="50" fillId="0" borderId="6" xfId="0" applyFont="1" applyBorder="1" applyAlignment="1">
      <alignment horizontal="left" vertical="center" wrapText="1"/>
    </xf>
    <xf numFmtId="0" fontId="50" fillId="0" borderId="8" xfId="0" applyFont="1" applyBorder="1" applyAlignment="1">
      <alignment horizontal="left" vertical="center" wrapText="1"/>
    </xf>
    <xf numFmtId="0" fontId="50" fillId="0" borderId="37" xfId="0" applyFont="1" applyBorder="1" applyAlignment="1">
      <alignment horizontal="left" vertical="center" wrapText="1"/>
    </xf>
    <xf numFmtId="0" fontId="50" fillId="0" borderId="9" xfId="0" applyFont="1" applyBorder="1" applyAlignment="1">
      <alignment horizontal="left" vertical="center" wrapText="1"/>
    </xf>
    <xf numFmtId="0" fontId="50" fillId="0" borderId="29" xfId="0" applyFont="1" applyBorder="1" applyAlignment="1">
      <alignment horizontal="left" vertical="center" wrapText="1"/>
    </xf>
    <xf numFmtId="0" fontId="50" fillId="0" borderId="51" xfId="0" applyFont="1" applyBorder="1" applyAlignment="1">
      <alignment horizontal="left" vertical="center" wrapText="1"/>
    </xf>
    <xf numFmtId="178" fontId="0" fillId="0" borderId="8" xfId="0" applyNumberFormat="1" applyBorder="1" applyAlignment="1">
      <alignment horizontal="center" vertical="center"/>
    </xf>
    <xf numFmtId="178" fontId="0" fillId="0" borderId="0" xfId="0" applyNumberFormat="1" applyBorder="1" applyAlignment="1">
      <alignment horizontal="center" vertical="center"/>
    </xf>
    <xf numFmtId="0" fontId="49" fillId="0" borderId="2" xfId="0" applyFont="1" applyBorder="1" applyAlignment="1">
      <alignment horizontal="left" vertical="top" wrapText="1"/>
    </xf>
    <xf numFmtId="0" fontId="49" fillId="0" borderId="3" xfId="0" applyFont="1" applyBorder="1" applyAlignment="1">
      <alignment horizontal="left" vertical="top" wrapText="1"/>
    </xf>
    <xf numFmtId="0" fontId="49" fillId="0" borderId="5" xfId="0" applyFont="1" applyBorder="1" applyAlignment="1">
      <alignment horizontal="left" vertical="top" wrapText="1"/>
    </xf>
    <xf numFmtId="0" fontId="0" fillId="0" borderId="6" xfId="0" applyBorder="1" applyAlignment="1">
      <alignment horizontal="center" vertical="center"/>
    </xf>
    <xf numFmtId="0" fontId="0" fillId="0" borderId="37" xfId="0" applyBorder="1" applyAlignment="1">
      <alignment horizontal="center" vertical="center"/>
    </xf>
    <xf numFmtId="0" fontId="0" fillId="0" borderId="3" xfId="0" applyBorder="1" applyAlignment="1">
      <alignment horizontal="center" vertical="center"/>
    </xf>
    <xf numFmtId="0" fontId="50" fillId="0" borderId="1"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0" fillId="0" borderId="8" xfId="0" applyBorder="1" applyAlignment="1">
      <alignment horizontal="center" vertical="center"/>
    </xf>
    <xf numFmtId="0" fontId="0" fillId="0" borderId="20" xfId="0" applyBorder="1" applyAlignment="1">
      <alignment horizontal="center" vertical="center"/>
    </xf>
    <xf numFmtId="0" fontId="0" fillId="0" borderId="42" xfId="0" applyBorder="1" applyAlignment="1">
      <alignment horizontal="center" vertical="center"/>
    </xf>
    <xf numFmtId="0" fontId="0" fillId="0" borderId="32" xfId="0" applyBorder="1" applyAlignment="1">
      <alignment horizontal="center" vertical="center"/>
    </xf>
    <xf numFmtId="0" fontId="0" fillId="0" borderId="15" xfId="0" applyBorder="1" applyAlignment="1">
      <alignment horizontal="center" vertical="center"/>
    </xf>
    <xf numFmtId="0" fontId="0" fillId="0" borderId="49" xfId="0" applyBorder="1" applyAlignment="1">
      <alignment horizontal="center" vertical="center"/>
    </xf>
    <xf numFmtId="0" fontId="0" fillId="0" borderId="11" xfId="0" applyBorder="1" applyAlignment="1">
      <alignment horizontal="center" vertical="center"/>
    </xf>
    <xf numFmtId="0" fontId="0" fillId="0" borderId="24" xfId="0" applyBorder="1" applyAlignment="1">
      <alignment horizontal="center" vertical="center"/>
    </xf>
    <xf numFmtId="0" fontId="0" fillId="0" borderId="44"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42" fillId="0" borderId="34" xfId="1" applyFont="1" applyBorder="1" applyAlignment="1">
      <alignment horizontal="center" vertical="center"/>
    </xf>
    <xf numFmtId="0" fontId="42" fillId="0" borderId="54" xfId="1" applyFont="1" applyBorder="1" applyAlignment="1">
      <alignment horizontal="center" vertical="center"/>
    </xf>
    <xf numFmtId="0" fontId="42" fillId="0" borderId="25" xfId="1" applyFont="1" applyBorder="1" applyAlignment="1">
      <alignment horizontal="center" vertical="center"/>
    </xf>
    <xf numFmtId="0" fontId="42" fillId="0" borderId="39" xfId="1" applyFont="1" applyBorder="1" applyAlignment="1">
      <alignment horizontal="center" vertical="center"/>
    </xf>
    <xf numFmtId="0" fontId="29" fillId="0" borderId="24" xfId="1" applyFont="1" applyBorder="1" applyAlignment="1">
      <alignment horizontal="center" vertical="center"/>
    </xf>
    <xf numFmtId="0" fontId="29" fillId="0" borderId="44" xfId="1" applyFont="1" applyBorder="1" applyAlignment="1">
      <alignment horizontal="center" vertical="center"/>
    </xf>
    <xf numFmtId="0" fontId="41" fillId="0" borderId="59" xfId="29" applyFont="1" applyFill="1" applyBorder="1" applyAlignment="1">
      <alignment horizontal="center" vertical="center"/>
    </xf>
    <xf numFmtId="0" fontId="41" fillId="0" borderId="3" xfId="29" applyFont="1" applyFill="1" applyBorder="1" applyAlignment="1">
      <alignment horizontal="center" vertical="center"/>
    </xf>
    <xf numFmtId="0" fontId="41" fillId="0" borderId="11" xfId="29" applyFont="1" applyFill="1" applyBorder="1" applyAlignment="1">
      <alignment horizontal="center" vertical="center"/>
    </xf>
    <xf numFmtId="0" fontId="44" fillId="0" borderId="60" xfId="1" applyFont="1" applyBorder="1" applyAlignment="1">
      <alignment horizontal="center" vertical="center"/>
    </xf>
    <xf numFmtId="0" fontId="44" fillId="0" borderId="61" xfId="1" applyFont="1" applyBorder="1" applyAlignment="1">
      <alignment horizontal="center" vertical="center"/>
    </xf>
    <xf numFmtId="0" fontId="44" fillId="0" borderId="49" xfId="1" applyFont="1" applyBorder="1" applyAlignment="1">
      <alignment horizontal="center" vertical="center"/>
    </xf>
    <xf numFmtId="0" fontId="0" fillId="0" borderId="57" xfId="0" applyBorder="1" applyAlignment="1">
      <alignment horizontal="center" vertical="center"/>
    </xf>
    <xf numFmtId="0" fontId="37" fillId="4" borderId="102" xfId="1" applyFont="1" applyFill="1" applyBorder="1" applyAlignment="1">
      <alignment horizontal="center" vertical="center"/>
    </xf>
    <xf numFmtId="0" fontId="37" fillId="4" borderId="101" xfId="1" applyFont="1" applyFill="1" applyBorder="1" applyAlignment="1">
      <alignment horizontal="center" vertical="center"/>
    </xf>
    <xf numFmtId="0" fontId="37" fillId="4" borderId="100" xfId="1" applyFont="1" applyFill="1" applyBorder="1" applyAlignment="1">
      <alignment horizontal="center" vertical="center"/>
    </xf>
    <xf numFmtId="0" fontId="63" fillId="0" borderId="2" xfId="1" applyFont="1" applyBorder="1" applyAlignment="1">
      <alignment horizontal="center" vertical="center"/>
    </xf>
    <xf numFmtId="0" fontId="63" fillId="0" borderId="3" xfId="1" applyFont="1" applyBorder="1" applyAlignment="1">
      <alignment horizontal="center" vertical="center"/>
    </xf>
    <xf numFmtId="0" fontId="63" fillId="0" borderId="11" xfId="1" applyFont="1" applyBorder="1" applyAlignment="1">
      <alignment horizontal="center" vertical="center"/>
    </xf>
    <xf numFmtId="0" fontId="44" fillId="0" borderId="10" xfId="1" applyFont="1" applyBorder="1" applyAlignment="1">
      <alignment horizontal="center" vertical="center"/>
    </xf>
    <xf numFmtId="0" fontId="29" fillId="0" borderId="10" xfId="1" applyFont="1" applyBorder="1" applyAlignment="1">
      <alignment vertical="center"/>
    </xf>
    <xf numFmtId="0" fontId="44" fillId="0" borderId="1" xfId="1" applyFont="1" applyBorder="1" applyAlignment="1">
      <alignment horizontal="center" vertical="center"/>
    </xf>
    <xf numFmtId="0" fontId="29" fillId="0" borderId="1" xfId="1" applyFont="1" applyBorder="1" applyAlignment="1">
      <alignment vertical="center"/>
    </xf>
    <xf numFmtId="0" fontId="44" fillId="0" borderId="19" xfId="1" applyFont="1" applyBorder="1" applyAlignment="1">
      <alignment horizontal="center" vertical="center"/>
    </xf>
    <xf numFmtId="0" fontId="29" fillId="0" borderId="12" xfId="1" applyFont="1" applyBorder="1" applyAlignment="1">
      <alignment horizontal="center" vertical="center"/>
    </xf>
    <xf numFmtId="0" fontId="64" fillId="0" borderId="24" xfId="1" applyFont="1" applyBorder="1" applyAlignment="1">
      <alignment horizontal="center" vertical="center"/>
    </xf>
    <xf numFmtId="0" fontId="64" fillId="0" borderId="21" xfId="1" applyFont="1" applyBorder="1" applyAlignment="1">
      <alignment horizontal="center" vertical="center"/>
    </xf>
    <xf numFmtId="0" fontId="65" fillId="0" borderId="21" xfId="1" applyFont="1" applyBorder="1" applyAlignment="1">
      <alignment horizontal="center" vertical="center"/>
    </xf>
    <xf numFmtId="0" fontId="65" fillId="0" borderId="44" xfId="1" applyFont="1" applyBorder="1" applyAlignment="1">
      <alignment horizontal="center" vertical="center"/>
    </xf>
    <xf numFmtId="0" fontId="63" fillId="0" borderId="24" xfId="1" applyFont="1" applyBorder="1" applyAlignment="1">
      <alignment horizontal="center" vertical="center"/>
    </xf>
    <xf numFmtId="0" fontId="63" fillId="0" borderId="21" xfId="1" applyFont="1" applyBorder="1" applyAlignment="1">
      <alignment horizontal="center" vertical="center"/>
    </xf>
    <xf numFmtId="0" fontId="63" fillId="0" borderId="48" xfId="1" applyFont="1" applyBorder="1" applyAlignment="1">
      <alignment horizontal="center" vertical="center"/>
    </xf>
    <xf numFmtId="0" fontId="83" fillId="0" borderId="0" xfId="1" applyFont="1" applyBorder="1" applyAlignment="1">
      <alignment horizontal="center" vertical="center"/>
    </xf>
    <xf numFmtId="0" fontId="68" fillId="0" borderId="40" xfId="1" applyFont="1" applyBorder="1" applyAlignment="1">
      <alignment horizontal="center" vertical="center" wrapText="1"/>
    </xf>
    <xf numFmtId="0" fontId="68" fillId="0" borderId="40" xfId="1" applyFont="1" applyBorder="1" applyAlignment="1">
      <alignment horizontal="center" vertical="center"/>
    </xf>
    <xf numFmtId="180" fontId="41" fillId="0" borderId="20" xfId="1" applyNumberFormat="1" applyFont="1" applyBorder="1" applyAlignment="1">
      <alignment horizontal="center" vertical="center"/>
    </xf>
    <xf numFmtId="180" fontId="41" fillId="0" borderId="61" xfId="1" applyNumberFormat="1" applyFont="1" applyBorder="1" applyAlignment="1">
      <alignment horizontal="center" vertical="center"/>
    </xf>
    <xf numFmtId="180" fontId="41" fillId="0" borderId="49" xfId="1" applyNumberFormat="1" applyFont="1" applyBorder="1" applyAlignment="1">
      <alignment horizontal="center" vertical="center"/>
    </xf>
    <xf numFmtId="0" fontId="41" fillId="0" borderId="3" xfId="1" applyFont="1" applyBorder="1" applyAlignment="1">
      <alignment horizontal="center" vertical="center"/>
    </xf>
    <xf numFmtId="0" fontId="41" fillId="0" borderId="11" xfId="1" applyFont="1" applyBorder="1" applyAlignment="1">
      <alignment horizontal="center" vertical="center"/>
    </xf>
    <xf numFmtId="0" fontId="44" fillId="0" borderId="18" xfId="1" applyFont="1" applyBorder="1" applyAlignment="1">
      <alignment horizontal="center" vertical="center"/>
    </xf>
    <xf numFmtId="0" fontId="29" fillId="0" borderId="1" xfId="1" applyFont="1" applyBorder="1" applyAlignment="1">
      <alignment horizontal="center" vertical="center"/>
    </xf>
    <xf numFmtId="0" fontId="64" fillId="0" borderId="2" xfId="1" applyFont="1" applyBorder="1" applyAlignment="1">
      <alignment horizontal="center" vertical="center"/>
    </xf>
    <xf numFmtId="0" fontId="64" fillId="0" borderId="3" xfId="1" applyFont="1" applyBorder="1" applyAlignment="1">
      <alignment horizontal="center" vertical="center"/>
    </xf>
    <xf numFmtId="0" fontId="64" fillId="0" borderId="5" xfId="1" applyFont="1" applyBorder="1" applyAlignment="1">
      <alignment horizontal="center" vertical="center"/>
    </xf>
    <xf numFmtId="0" fontId="0" fillId="3" borderId="14" xfId="0" applyFill="1" applyBorder="1" applyAlignment="1">
      <alignment horizontal="center" vertical="center"/>
    </xf>
    <xf numFmtId="0" fontId="0" fillId="3" borderId="63" xfId="0" applyFill="1" applyBorder="1" applyAlignment="1">
      <alignment horizontal="center" vertical="center"/>
    </xf>
    <xf numFmtId="0" fontId="0" fillId="0" borderId="64" xfId="0" applyBorder="1" applyAlignment="1">
      <alignment horizontal="center" vertical="center"/>
    </xf>
    <xf numFmtId="0" fontId="0" fillId="0" borderId="53" xfId="0" applyBorder="1" applyAlignment="1">
      <alignment horizontal="center" vertical="center"/>
    </xf>
    <xf numFmtId="183" fontId="40" fillId="0" borderId="56" xfId="1" applyNumberFormat="1" applyFont="1" applyBorder="1" applyAlignment="1">
      <alignment horizontal="center" vertical="center"/>
    </xf>
    <xf numFmtId="183" fontId="40" fillId="0" borderId="57" xfId="1" applyNumberFormat="1" applyFont="1" applyBorder="1" applyAlignment="1">
      <alignment horizontal="center" vertical="center"/>
    </xf>
    <xf numFmtId="0" fontId="81" fillId="0" borderId="0" xfId="1" applyFont="1" applyAlignment="1">
      <alignment vertical="center"/>
    </xf>
    <xf numFmtId="0" fontId="82" fillId="0" borderId="0" xfId="1" applyFont="1" applyAlignment="1">
      <alignment vertical="center"/>
    </xf>
    <xf numFmtId="0" fontId="44" fillId="0" borderId="23" xfId="1" applyFont="1" applyBorder="1" applyAlignment="1">
      <alignment horizontal="center" vertical="center"/>
    </xf>
    <xf numFmtId="0" fontId="29" fillId="0" borderId="10" xfId="1" applyFont="1" applyBorder="1" applyAlignment="1">
      <alignment horizontal="center" vertical="center"/>
    </xf>
    <xf numFmtId="0" fontId="63" fillId="0" borderId="20" xfId="1" applyFont="1" applyBorder="1" applyAlignment="1">
      <alignment horizontal="center" vertical="center"/>
    </xf>
    <xf numFmtId="0" fontId="63" fillId="0" borderId="61" xfId="1" applyFont="1" applyBorder="1" applyAlignment="1">
      <alignment horizontal="center" vertical="center"/>
    </xf>
    <xf numFmtId="0" fontId="63" fillId="0" borderId="42" xfId="1" applyFont="1" applyBorder="1" applyAlignment="1">
      <alignment horizontal="center" vertical="center"/>
    </xf>
    <xf numFmtId="0" fontId="63" fillId="0" borderId="5" xfId="1" applyFont="1" applyBorder="1" applyAlignment="1">
      <alignment horizontal="center" vertical="center"/>
    </xf>
    <xf numFmtId="183" fontId="68" fillId="0" borderId="2" xfId="1" applyNumberFormat="1" applyFont="1" applyBorder="1" applyAlignment="1">
      <alignment horizontal="center" vertical="center"/>
    </xf>
    <xf numFmtId="183" fontId="68" fillId="0" borderId="3" xfId="1" applyNumberFormat="1" applyFont="1" applyBorder="1" applyAlignment="1">
      <alignment horizontal="center" vertical="center"/>
    </xf>
    <xf numFmtId="0" fontId="0" fillId="0" borderId="28" xfId="0" applyBorder="1" applyAlignment="1">
      <alignment horizontal="center" vertical="center"/>
    </xf>
    <xf numFmtId="0" fontId="14" fillId="0" borderId="14" xfId="0" applyFont="1" applyBorder="1" applyAlignment="1">
      <alignment horizontal="center" vertical="center"/>
    </xf>
    <xf numFmtId="0" fontId="14" fillId="0" borderId="40" xfId="0" applyFont="1" applyBorder="1" applyAlignment="1">
      <alignment horizontal="center" vertical="center"/>
    </xf>
    <xf numFmtId="0" fontId="0" fillId="0" borderId="62" xfId="0" applyBorder="1" applyAlignment="1">
      <alignment horizontal="center" vertical="center"/>
    </xf>
    <xf numFmtId="0" fontId="0" fillId="0" borderId="14" xfId="0" applyBorder="1" applyAlignment="1">
      <alignment horizontal="center" vertical="center"/>
    </xf>
    <xf numFmtId="0" fontId="0" fillId="0" borderId="63" xfId="0" applyBorder="1" applyAlignment="1">
      <alignment horizontal="center" vertical="center"/>
    </xf>
    <xf numFmtId="0" fontId="44" fillId="2" borderId="56" xfId="1" applyFont="1" applyFill="1" applyBorder="1" applyAlignment="1">
      <alignment horizontal="center" vertical="center"/>
    </xf>
    <xf numFmtId="0" fontId="44" fillId="2" borderId="58" xfId="1" applyFont="1" applyFill="1" applyBorder="1" applyAlignment="1">
      <alignment horizontal="center" vertical="center"/>
    </xf>
    <xf numFmtId="0" fontId="41" fillId="2" borderId="94" xfId="29" applyFont="1" applyFill="1" applyBorder="1" applyAlignment="1">
      <alignment horizontal="center" vertical="center"/>
    </xf>
    <xf numFmtId="0" fontId="41" fillId="2" borderId="48" xfId="29" applyFont="1" applyFill="1" applyBorder="1" applyAlignment="1">
      <alignment horizontal="center" vertical="center"/>
    </xf>
    <xf numFmtId="0" fontId="41" fillId="2" borderId="60" xfId="29" applyFont="1" applyFill="1" applyBorder="1" applyAlignment="1">
      <alignment horizontal="center" vertical="center"/>
    </xf>
    <xf numFmtId="0" fontId="41" fillId="2" borderId="49" xfId="29" applyFont="1" applyFill="1" applyBorder="1" applyAlignment="1">
      <alignment horizontal="center" vertical="center"/>
    </xf>
    <xf numFmtId="0" fontId="41" fillId="2" borderId="59" xfId="29" applyFont="1" applyFill="1" applyBorder="1" applyAlignment="1">
      <alignment horizontal="center" vertical="center"/>
    </xf>
    <xf numFmtId="0" fontId="41" fillId="2" borderId="11" xfId="29" applyFont="1" applyFill="1" applyBorder="1" applyAlignment="1">
      <alignment horizontal="center" vertical="center"/>
    </xf>
    <xf numFmtId="183" fontId="37" fillId="0" borderId="56" xfId="1" applyNumberFormat="1" applyFont="1" applyBorder="1" applyAlignment="1">
      <alignment horizontal="center" vertical="center"/>
    </xf>
    <xf numFmtId="183" fontId="37" fillId="0" borderId="57" xfId="1" applyNumberFormat="1" applyFont="1" applyBorder="1" applyAlignment="1">
      <alignment horizontal="center" vertical="center"/>
    </xf>
    <xf numFmtId="183" fontId="37" fillId="0" borderId="58" xfId="1" applyNumberFormat="1" applyFont="1" applyBorder="1" applyAlignment="1">
      <alignment horizontal="center" vertical="center"/>
    </xf>
    <xf numFmtId="0" fontId="41" fillId="2" borderId="14" xfId="29" applyFont="1" applyFill="1" applyBorder="1" applyAlignment="1">
      <alignment horizontal="center" vertical="center"/>
    </xf>
    <xf numFmtId="0" fontId="41" fillId="2" borderId="41" xfId="29" applyFont="1" applyFill="1" applyBorder="1" applyAlignment="1">
      <alignment horizontal="center" vertical="center"/>
    </xf>
    <xf numFmtId="0" fontId="41" fillId="0" borderId="94" xfId="29" applyFont="1" applyFill="1" applyBorder="1" applyAlignment="1">
      <alignment horizontal="center" vertical="center"/>
    </xf>
    <xf numFmtId="0" fontId="41" fillId="0" borderId="21" xfId="29" applyFont="1" applyFill="1" applyBorder="1" applyAlignment="1">
      <alignment horizontal="center" vertical="center"/>
    </xf>
    <xf numFmtId="0" fontId="41" fillId="0" borderId="48" xfId="29" applyFont="1" applyFill="1" applyBorder="1" applyAlignment="1">
      <alignment horizontal="center" vertical="center"/>
    </xf>
    <xf numFmtId="0" fontId="42" fillId="0" borderId="55" xfId="1" applyFont="1" applyBorder="1" applyAlignment="1">
      <alignment horizontal="center" vertical="center"/>
    </xf>
    <xf numFmtId="0" fontId="42" fillId="0" borderId="65" xfId="1" applyFont="1" applyBorder="1" applyAlignment="1">
      <alignment horizontal="center" vertical="center"/>
    </xf>
    <xf numFmtId="183" fontId="92" fillId="0" borderId="2" xfId="117" applyNumberFormat="1" applyFont="1" applyBorder="1" applyAlignment="1">
      <alignment horizontal="center" vertical="center"/>
    </xf>
    <xf numFmtId="183" fontId="92" fillId="0" borderId="3" xfId="117" applyNumberFormat="1" applyFont="1" applyBorder="1" applyAlignment="1">
      <alignment horizontal="center" vertical="center"/>
    </xf>
    <xf numFmtId="183" fontId="92" fillId="0" borderId="5" xfId="117" applyNumberFormat="1" applyFont="1" applyBorder="1" applyAlignment="1">
      <alignment horizontal="center" vertical="center"/>
    </xf>
    <xf numFmtId="0" fontId="41" fillId="0" borderId="2" xfId="1" applyFont="1" applyBorder="1" applyAlignment="1">
      <alignment horizontal="center" vertical="center"/>
    </xf>
    <xf numFmtId="0" fontId="28" fillId="0" borderId="3" xfId="1" applyFont="1" applyBorder="1" applyAlignment="1">
      <alignment horizontal="center" vertical="center"/>
    </xf>
    <xf numFmtId="0" fontId="28" fillId="0" borderId="5" xfId="1" applyFont="1" applyBorder="1" applyAlignment="1">
      <alignment horizontal="center" vertical="center"/>
    </xf>
    <xf numFmtId="0" fontId="41" fillId="0" borderId="59" xfId="1" applyFont="1" applyFill="1" applyBorder="1" applyAlignment="1">
      <alignment horizontal="center" vertical="center"/>
    </xf>
    <xf numFmtId="0" fontId="41" fillId="0" borderId="3" xfId="1" applyFont="1" applyFill="1" applyBorder="1" applyAlignment="1">
      <alignment horizontal="center" vertical="center"/>
    </xf>
    <xf numFmtId="0" fontId="41" fillId="0" borderId="11" xfId="1" applyFont="1" applyFill="1" applyBorder="1" applyAlignment="1">
      <alignment horizontal="center" vertical="center"/>
    </xf>
    <xf numFmtId="183" fontId="40" fillId="0" borderId="14" xfId="1" applyNumberFormat="1" applyFont="1" applyBorder="1" applyAlignment="1">
      <alignment horizontal="center" vertical="center"/>
    </xf>
    <xf numFmtId="183" fontId="40" fillId="0" borderId="40" xfId="1" applyNumberFormat="1" applyFont="1" applyBorder="1" applyAlignment="1">
      <alignment horizontal="center" vertical="center"/>
    </xf>
    <xf numFmtId="183" fontId="37" fillId="0" borderId="14" xfId="1" applyNumberFormat="1" applyFont="1" applyBorder="1" applyAlignment="1">
      <alignment horizontal="center" vertical="center"/>
    </xf>
    <xf numFmtId="183" fontId="37" fillId="0" borderId="40" xfId="1" applyNumberFormat="1" applyFont="1" applyBorder="1" applyAlignment="1">
      <alignment horizontal="center" vertical="center"/>
    </xf>
    <xf numFmtId="183" fontId="37" fillId="0" borderId="41" xfId="1" applyNumberFormat="1" applyFont="1" applyBorder="1" applyAlignment="1">
      <alignment horizontal="center" vertical="center"/>
    </xf>
    <xf numFmtId="0" fontId="41" fillId="0" borderId="21" xfId="1" applyFont="1" applyFill="1" applyBorder="1" applyAlignment="1">
      <alignment horizontal="center" vertical="center"/>
    </xf>
    <xf numFmtId="0" fontId="41" fillId="0" borderId="48" xfId="1" applyFont="1" applyFill="1" applyBorder="1" applyAlignment="1">
      <alignment horizontal="center" vertical="center"/>
    </xf>
    <xf numFmtId="0" fontId="41" fillId="0" borderId="59" xfId="1" applyFont="1" applyBorder="1" applyAlignment="1">
      <alignment horizontal="center" vertical="center"/>
    </xf>
    <xf numFmtId="177" fontId="0" fillId="0" borderId="86" xfId="0" applyNumberFormat="1" applyFill="1" applyBorder="1" applyAlignment="1">
      <alignment horizontal="center" vertical="center"/>
    </xf>
    <xf numFmtId="177" fontId="0" fillId="0" borderId="11" xfId="0" applyNumberFormat="1" applyFill="1" applyBorder="1" applyAlignment="1">
      <alignment horizontal="center"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49" fontId="34" fillId="6" borderId="2" xfId="0" applyNumberFormat="1" applyFont="1" applyFill="1" applyBorder="1" applyAlignment="1">
      <alignment horizontal="center" vertical="center"/>
    </xf>
    <xf numFmtId="0" fontId="34" fillId="6" borderId="3" xfId="0" applyNumberFormat="1" applyFont="1" applyFill="1" applyBorder="1" applyAlignment="1">
      <alignment horizontal="center" vertical="center"/>
    </xf>
    <xf numFmtId="49" fontId="34" fillId="6" borderId="3" xfId="0" applyNumberFormat="1" applyFont="1" applyFill="1" applyBorder="1" applyAlignment="1">
      <alignment horizontal="center" vertical="center"/>
    </xf>
    <xf numFmtId="0" fontId="34" fillId="6" borderId="11" xfId="0" applyNumberFormat="1" applyFont="1" applyFill="1" applyBorder="1" applyAlignment="1">
      <alignment horizontal="center" vertical="center"/>
    </xf>
    <xf numFmtId="177" fontId="0" fillId="4" borderId="3" xfId="0" applyNumberFormat="1" applyFill="1" applyBorder="1" applyAlignment="1">
      <alignment horizontal="center" vertical="center"/>
    </xf>
    <xf numFmtId="177" fontId="0" fillId="4" borderId="11" xfId="0" applyNumberFormat="1"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49" fillId="6" borderId="2" xfId="0" applyFont="1" applyFill="1" applyBorder="1" applyAlignment="1">
      <alignment horizontal="center" vertical="center"/>
    </xf>
    <xf numFmtId="0" fontId="49" fillId="6" borderId="5" xfId="0" applyFont="1" applyFill="1" applyBorder="1" applyAlignment="1">
      <alignment horizontal="center" vertical="center"/>
    </xf>
    <xf numFmtId="178" fontId="34" fillId="6" borderId="3" xfId="0" applyNumberFormat="1" applyFont="1" applyFill="1" applyBorder="1" applyAlignment="1">
      <alignment horizontal="center" vertical="center"/>
    </xf>
    <xf numFmtId="178" fontId="34" fillId="6" borderId="11" xfId="0" applyNumberFormat="1" applyFont="1" applyFill="1" applyBorder="1" applyAlignment="1">
      <alignment horizontal="center" vertical="center"/>
    </xf>
    <xf numFmtId="178" fontId="49" fillId="4" borderId="3" xfId="0" applyNumberFormat="1" applyFont="1" applyFill="1" applyBorder="1" applyAlignment="1">
      <alignment horizontal="center" vertical="center"/>
    </xf>
    <xf numFmtId="178" fontId="49" fillId="4" borderId="11" xfId="0" applyNumberFormat="1" applyFont="1" applyFill="1" applyBorder="1" applyAlignment="1">
      <alignment horizontal="center" vertical="center"/>
    </xf>
    <xf numFmtId="0" fontId="34" fillId="6" borderId="5" xfId="0" applyFont="1" applyFill="1" applyBorder="1" applyAlignment="1">
      <alignment horizontal="center" vertical="center"/>
    </xf>
    <xf numFmtId="0" fontId="34" fillId="6" borderId="2" xfId="0" applyFont="1" applyFill="1" applyBorder="1" applyAlignment="1">
      <alignment horizontal="center" vertical="center"/>
    </xf>
    <xf numFmtId="0" fontId="49" fillId="6" borderId="3" xfId="0" applyFont="1" applyFill="1" applyBorder="1" applyAlignment="1">
      <alignment horizontal="center" vertical="center"/>
    </xf>
    <xf numFmtId="0" fontId="34" fillId="4" borderId="20" xfId="0" applyFont="1" applyFill="1" applyBorder="1" applyAlignment="1">
      <alignment horizontal="center" vertical="center"/>
    </xf>
    <xf numFmtId="0" fontId="34" fillId="4" borderId="61" xfId="0" applyFont="1" applyFill="1" applyBorder="1" applyAlignment="1">
      <alignment horizontal="center" vertical="center"/>
    </xf>
    <xf numFmtId="0" fontId="0" fillId="4" borderId="59" xfId="0" applyFill="1" applyBorder="1" applyAlignment="1">
      <alignment horizontal="center" vertical="center"/>
    </xf>
    <xf numFmtId="0" fontId="0" fillId="4" borderId="5" xfId="0" applyFill="1" applyBorder="1" applyAlignment="1">
      <alignment horizontal="center" vertical="center"/>
    </xf>
    <xf numFmtId="0" fontId="34" fillId="4" borderId="2" xfId="0" applyFont="1" applyFill="1" applyBorder="1" applyAlignment="1">
      <alignment horizontal="center" vertical="center"/>
    </xf>
    <xf numFmtId="0" fontId="34" fillId="4" borderId="3" xfId="0" applyFont="1" applyFill="1" applyBorder="1" applyAlignment="1">
      <alignment horizontal="center" vertical="center"/>
    </xf>
    <xf numFmtId="0" fontId="62" fillId="6" borderId="2" xfId="0" applyFont="1" applyFill="1" applyBorder="1" applyAlignment="1">
      <alignment horizontal="left" vertical="center"/>
    </xf>
    <xf numFmtId="0" fontId="62" fillId="6" borderId="3" xfId="0" applyFont="1" applyFill="1" applyBorder="1" applyAlignment="1">
      <alignment horizontal="left" vertical="center"/>
    </xf>
    <xf numFmtId="0" fontId="62" fillId="6" borderId="11" xfId="0" applyFont="1" applyFill="1" applyBorder="1" applyAlignment="1">
      <alignment horizontal="left" vertical="center"/>
    </xf>
    <xf numFmtId="178" fontId="34" fillId="6" borderId="59" xfId="0" applyNumberFormat="1" applyFont="1" applyFill="1" applyBorder="1" applyAlignment="1">
      <alignment horizontal="center" vertical="center"/>
    </xf>
    <xf numFmtId="177" fontId="0" fillId="4" borderId="61" xfId="0" applyNumberFormat="1" applyFill="1" applyBorder="1" applyAlignment="1">
      <alignment horizontal="center" vertical="center"/>
    </xf>
    <xf numFmtId="177" fontId="0" fillId="4" borderId="49" xfId="0" applyNumberFormat="1" applyFill="1" applyBorder="1" applyAlignment="1">
      <alignment horizontal="center" vertical="center"/>
    </xf>
    <xf numFmtId="0" fontId="18" fillId="0" borderId="0" xfId="0" applyFont="1" applyAlignment="1">
      <alignment horizontal="center" vertical="center"/>
    </xf>
    <xf numFmtId="0" fontId="0" fillId="0" borderId="0" xfId="0" applyAlignment="1">
      <alignment horizontal="right" vertical="center"/>
    </xf>
    <xf numFmtId="0" fontId="18" fillId="0" borderId="0" xfId="0" applyFont="1" applyBorder="1" applyAlignment="1">
      <alignment horizontal="left" vertical="center"/>
    </xf>
    <xf numFmtId="0" fontId="0" fillId="0" borderId="90" xfId="0" applyBorder="1" applyAlignment="1">
      <alignment horizontal="center" vertical="center"/>
    </xf>
    <xf numFmtId="178" fontId="0" fillId="0" borderId="91" xfId="0" applyNumberFormat="1" applyBorder="1" applyAlignment="1">
      <alignment horizontal="center" vertical="center"/>
    </xf>
    <xf numFmtId="178" fontId="0" fillId="0" borderId="92" xfId="0" applyNumberFormat="1" applyBorder="1" applyAlignment="1">
      <alignment horizontal="center" vertical="center"/>
    </xf>
    <xf numFmtId="0" fontId="66" fillId="0" borderId="0" xfId="0" applyFont="1" applyAlignment="1">
      <alignment horizontal="center" vertical="center" wrapText="1"/>
    </xf>
    <xf numFmtId="0" fontId="0" fillId="4" borderId="60" xfId="0" applyFill="1" applyBorder="1" applyAlignment="1">
      <alignment horizontal="center" vertical="center"/>
    </xf>
    <xf numFmtId="0" fontId="0" fillId="4" borderId="42" xfId="0" applyFill="1" applyBorder="1" applyAlignment="1">
      <alignment horizontal="center" vertical="center"/>
    </xf>
    <xf numFmtId="0" fontId="0" fillId="0" borderId="56" xfId="0" applyFill="1" applyBorder="1" applyAlignment="1">
      <alignment horizontal="center" vertical="center"/>
    </xf>
    <xf numFmtId="0" fontId="0" fillId="0" borderId="57" xfId="0" applyFill="1" applyBorder="1" applyAlignment="1">
      <alignment horizontal="center" vertical="center"/>
    </xf>
    <xf numFmtId="0" fontId="0" fillId="0" borderId="58" xfId="0" applyFill="1" applyBorder="1" applyAlignment="1">
      <alignment horizontal="center" vertical="center"/>
    </xf>
    <xf numFmtId="0" fontId="12" fillId="0" borderId="32" xfId="0" applyFont="1" applyBorder="1" applyAlignment="1">
      <alignment horizontal="left" vertical="center"/>
    </xf>
    <xf numFmtId="0" fontId="12" fillId="0" borderId="62" xfId="0" applyFont="1" applyBorder="1" applyAlignment="1">
      <alignment horizontal="left" vertical="center"/>
    </xf>
    <xf numFmtId="0" fontId="84" fillId="6" borderId="1" xfId="0" applyFont="1" applyFill="1" applyBorder="1" applyAlignment="1">
      <alignment horizontal="left" vertical="center"/>
    </xf>
    <xf numFmtId="0" fontId="85" fillId="6" borderId="1" xfId="0" applyFont="1" applyFill="1" applyBorder="1" applyAlignment="1">
      <alignment horizontal="left" vertical="center"/>
    </xf>
    <xf numFmtId="0" fontId="25" fillId="7" borderId="2" xfId="0" applyFont="1" applyFill="1" applyBorder="1" applyAlignment="1">
      <alignment horizontal="center" vertical="center"/>
    </xf>
    <xf numFmtId="0" fontId="25" fillId="7" borderId="3" xfId="0" applyFont="1" applyFill="1" applyBorder="1" applyAlignment="1">
      <alignment horizontal="center" vertical="center"/>
    </xf>
    <xf numFmtId="0" fontId="25" fillId="7" borderId="47" xfId="0" applyFont="1" applyFill="1" applyBorder="1" applyAlignment="1">
      <alignment horizontal="center" vertical="center"/>
    </xf>
    <xf numFmtId="0" fontId="0" fillId="4" borderId="47" xfId="0" applyFill="1" applyBorder="1" applyAlignment="1">
      <alignment horizontal="center" vertical="center"/>
    </xf>
    <xf numFmtId="178" fontId="62" fillId="6" borderId="86" xfId="0" applyNumberFormat="1" applyFont="1" applyFill="1" applyBorder="1" applyAlignment="1">
      <alignment horizontal="center" vertical="center"/>
    </xf>
    <xf numFmtId="178" fontId="62" fillId="6" borderId="11" xfId="0" applyNumberFormat="1" applyFont="1" applyFill="1" applyBorder="1" applyAlignment="1">
      <alignment horizontal="center" vertical="center"/>
    </xf>
    <xf numFmtId="0" fontId="0" fillId="7" borderId="66" xfId="0" applyFill="1" applyBorder="1" applyAlignment="1">
      <alignment horizontal="center" vertical="center"/>
    </xf>
    <xf numFmtId="0" fontId="0" fillId="7" borderId="11" xfId="0" applyFill="1" applyBorder="1" applyAlignment="1">
      <alignment horizontal="center" vertical="center"/>
    </xf>
    <xf numFmtId="0" fontId="0" fillId="8" borderId="107" xfId="0" applyFill="1" applyBorder="1" applyAlignment="1">
      <alignment horizontal="center" vertical="center"/>
    </xf>
    <xf numFmtId="0" fontId="0" fillId="8" borderId="49"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47" xfId="0" applyFill="1" applyBorder="1" applyAlignment="1">
      <alignment horizontal="center" vertical="center"/>
    </xf>
    <xf numFmtId="0" fontId="34" fillId="6" borderId="5" xfId="0" applyNumberFormat="1" applyFont="1" applyFill="1" applyBorder="1" applyAlignment="1">
      <alignment horizontal="center" vertical="center"/>
    </xf>
    <xf numFmtId="0" fontId="0" fillId="8" borderId="47" xfId="0" applyFill="1" applyBorder="1" applyAlignment="1">
      <alignment horizontal="center" vertical="center"/>
    </xf>
    <xf numFmtId="0" fontId="34" fillId="6" borderId="3" xfId="0" applyFont="1" applyFill="1" applyBorder="1" applyAlignment="1">
      <alignment horizontal="center" vertical="center"/>
    </xf>
    <xf numFmtId="0" fontId="0" fillId="7" borderId="1" xfId="0" applyFill="1" applyBorder="1" applyAlignment="1">
      <alignment horizontal="center" vertical="center"/>
    </xf>
    <xf numFmtId="0" fontId="0" fillId="6" borderId="2" xfId="0" applyFont="1" applyFill="1" applyBorder="1" applyAlignment="1">
      <alignment horizontal="center" vertical="center"/>
    </xf>
    <xf numFmtId="0" fontId="0" fillId="6" borderId="5" xfId="0" applyFont="1" applyFill="1" applyBorder="1" applyAlignment="1">
      <alignment horizontal="center" vertical="center"/>
    </xf>
    <xf numFmtId="0" fontId="0" fillId="9" borderId="66" xfId="0" applyFill="1" applyBorder="1" applyAlignment="1">
      <alignment horizontal="center" vertical="center"/>
    </xf>
    <xf numFmtId="0" fontId="0" fillId="9" borderId="11"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0" borderId="59" xfId="0" applyBorder="1" applyAlignment="1">
      <alignment horizontal="center" vertical="center"/>
    </xf>
    <xf numFmtId="0" fontId="0" fillId="7" borderId="59" xfId="0" applyFill="1" applyBorder="1" applyAlignment="1">
      <alignment horizontal="center" vertical="top"/>
    </xf>
    <xf numFmtId="0" fontId="0" fillId="7" borderId="5" xfId="0" applyFill="1" applyBorder="1" applyAlignment="1">
      <alignment horizontal="center" vertical="top"/>
    </xf>
    <xf numFmtId="0" fontId="34" fillId="0" borderId="2" xfId="0" applyFont="1" applyFill="1" applyBorder="1" applyAlignment="1">
      <alignment horizontal="center" vertical="center"/>
    </xf>
    <xf numFmtId="0" fontId="34" fillId="0" borderId="3" xfId="0" applyFont="1" applyFill="1" applyBorder="1" applyAlignment="1">
      <alignment horizontal="center" vertical="center"/>
    </xf>
    <xf numFmtId="0" fontId="34" fillId="0" borderId="81" xfId="0" applyFont="1" applyFill="1" applyBorder="1" applyAlignment="1">
      <alignment horizontal="center" vertical="center"/>
    </xf>
    <xf numFmtId="0" fontId="0" fillId="0" borderId="14" xfId="0" applyFill="1" applyBorder="1" applyAlignment="1">
      <alignment horizontal="center" vertical="center"/>
    </xf>
    <xf numFmtId="0" fontId="0" fillId="0" borderId="40" xfId="0" applyFill="1" applyBorder="1" applyAlignment="1">
      <alignment horizontal="center" vertical="center"/>
    </xf>
    <xf numFmtId="0" fontId="0" fillId="0" borderId="41" xfId="0" applyFill="1" applyBorder="1" applyAlignment="1">
      <alignment horizontal="center" vertical="center"/>
    </xf>
    <xf numFmtId="178" fontId="62" fillId="6" borderId="3" xfId="0" applyNumberFormat="1" applyFont="1" applyFill="1" applyBorder="1" applyAlignment="1">
      <alignment horizontal="center" vertical="center"/>
    </xf>
    <xf numFmtId="0" fontId="0" fillId="8" borderId="66" xfId="0" applyFill="1" applyBorder="1" applyAlignment="1">
      <alignment horizontal="center" vertical="center"/>
    </xf>
    <xf numFmtId="0" fontId="0" fillId="8" borderId="11" xfId="0" applyFill="1" applyBorder="1" applyAlignment="1">
      <alignment horizontal="center" vertical="center"/>
    </xf>
    <xf numFmtId="177" fontId="0" fillId="0" borderId="87" xfId="0" applyNumberFormat="1" applyFill="1" applyBorder="1" applyAlignment="1">
      <alignment horizontal="center" vertical="center"/>
    </xf>
    <xf numFmtId="177" fontId="0" fillId="0" borderId="67" xfId="0" applyNumberFormat="1" applyFill="1" applyBorder="1" applyAlignment="1">
      <alignment horizontal="center" vertical="center"/>
    </xf>
    <xf numFmtId="0" fontId="0" fillId="7" borderId="21" xfId="0" applyFill="1" applyBorder="1" applyAlignment="1">
      <alignment horizontal="center" vertical="center"/>
    </xf>
    <xf numFmtId="0" fontId="0" fillId="7" borderId="48" xfId="0" applyFill="1" applyBorder="1" applyAlignment="1">
      <alignment horizontal="center" vertical="center"/>
    </xf>
    <xf numFmtId="0" fontId="49" fillId="2" borderId="21" xfId="0" applyFont="1" applyFill="1" applyBorder="1" applyAlignment="1">
      <alignment horizontal="center" vertical="center"/>
    </xf>
    <xf numFmtId="0" fontId="49" fillId="2" borderId="48" xfId="0" applyFont="1" applyFill="1" applyBorder="1" applyAlignment="1">
      <alignment horizontal="center" vertical="center"/>
    </xf>
    <xf numFmtId="0" fontId="49" fillId="0" borderId="2" xfId="0" applyFont="1" applyFill="1" applyBorder="1" applyAlignment="1">
      <alignment horizontal="left" vertical="center"/>
    </xf>
    <xf numFmtId="0" fontId="49" fillId="0" borderId="3" xfId="0" applyFont="1" applyFill="1" applyBorder="1" applyAlignment="1">
      <alignment horizontal="left" vertical="center"/>
    </xf>
    <xf numFmtId="0" fontId="0" fillId="7" borderId="95" xfId="0" applyFill="1" applyBorder="1" applyAlignment="1">
      <alignment horizontal="center" vertical="center"/>
    </xf>
    <xf numFmtId="0" fontId="0" fillId="7" borderId="40" xfId="0" applyFill="1" applyBorder="1" applyAlignment="1">
      <alignment horizontal="center" vertical="center"/>
    </xf>
    <xf numFmtId="0" fontId="0" fillId="0" borderId="60" xfId="0" applyBorder="1" applyAlignment="1">
      <alignment horizontal="center" vertical="center"/>
    </xf>
    <xf numFmtId="0" fontId="34" fillId="0" borderId="9" xfId="0" applyFont="1" applyFill="1" applyBorder="1" applyAlignment="1">
      <alignment horizontal="center" vertical="center"/>
    </xf>
    <xf numFmtId="0" fontId="34" fillId="0" borderId="29" xfId="0" applyFont="1" applyFill="1" applyBorder="1" applyAlignment="1">
      <alignment horizontal="center" vertical="center"/>
    </xf>
    <xf numFmtId="0" fontId="34" fillId="0" borderId="93" xfId="0" applyFont="1" applyFill="1" applyBorder="1" applyAlignment="1">
      <alignment horizontal="center" vertical="center"/>
    </xf>
    <xf numFmtId="178" fontId="34" fillId="6" borderId="86" xfId="0" applyNumberFormat="1" applyFont="1" applyFill="1" applyBorder="1" applyAlignment="1">
      <alignment horizontal="center" vertical="center"/>
    </xf>
    <xf numFmtId="178" fontId="0" fillId="0" borderId="89" xfId="0" applyNumberFormat="1" applyFont="1" applyFill="1" applyBorder="1" applyAlignment="1">
      <alignment horizontal="center" vertical="center"/>
    </xf>
    <xf numFmtId="178" fontId="0" fillId="0" borderId="48" xfId="0" applyNumberFormat="1" applyFont="1" applyFill="1" applyBorder="1" applyAlignment="1">
      <alignment horizontal="center" vertical="center"/>
    </xf>
    <xf numFmtId="178" fontId="49" fillId="4" borderId="86" xfId="0" applyNumberFormat="1" applyFont="1" applyFill="1" applyBorder="1" applyAlignment="1">
      <alignment horizontal="center" vertical="center"/>
    </xf>
    <xf numFmtId="0" fontId="12" fillId="0" borderId="10" xfId="0" applyFont="1" applyBorder="1" applyAlignment="1">
      <alignment horizontal="left" vertical="center"/>
    </xf>
    <xf numFmtId="0" fontId="12" fillId="0" borderId="20" xfId="0" applyFont="1" applyBorder="1" applyAlignment="1">
      <alignment horizontal="left" vertical="center"/>
    </xf>
    <xf numFmtId="0" fontId="12" fillId="0" borderId="42" xfId="0" applyFont="1" applyBorder="1" applyAlignment="1">
      <alignment horizontal="left" vertical="center"/>
    </xf>
    <xf numFmtId="0" fontId="0" fillId="6" borderId="81" xfId="0" applyFill="1" applyBorder="1" applyAlignment="1">
      <alignment horizontal="center" vertical="center"/>
    </xf>
    <xf numFmtId="0" fontId="0" fillId="4" borderId="24" xfId="0" applyFill="1" applyBorder="1" applyAlignment="1">
      <alignment horizontal="center" vertical="center"/>
    </xf>
    <xf numFmtId="0" fontId="0" fillId="4" borderId="21" xfId="0" applyFill="1" applyBorder="1" applyAlignment="1">
      <alignment horizontal="center" vertical="center"/>
    </xf>
    <xf numFmtId="0" fontId="26" fillId="2" borderId="2" xfId="0" applyFont="1" applyFill="1" applyBorder="1" applyAlignment="1">
      <alignment horizontal="center" vertical="center"/>
    </xf>
    <xf numFmtId="0" fontId="0" fillId="2" borderId="20" xfId="0" applyFill="1" applyBorder="1" applyAlignment="1">
      <alignment horizontal="center" vertical="center"/>
    </xf>
    <xf numFmtId="0" fontId="0" fillId="2" borderId="61" xfId="0" applyFill="1" applyBorder="1" applyAlignment="1">
      <alignment horizontal="center" vertical="center"/>
    </xf>
    <xf numFmtId="49" fontId="34" fillId="6" borderId="86" xfId="0" applyNumberFormat="1" applyFont="1" applyFill="1" applyBorder="1" applyAlignment="1">
      <alignment horizontal="center" vertical="center"/>
    </xf>
    <xf numFmtId="178" fontId="62" fillId="0" borderId="88" xfId="0" applyNumberFormat="1" applyFont="1" applyFill="1" applyBorder="1" applyAlignment="1">
      <alignment horizontal="center" vertical="center"/>
    </xf>
    <xf numFmtId="178" fontId="62" fillId="0" borderId="49" xfId="0" applyNumberFormat="1" applyFont="1" applyFill="1" applyBorder="1" applyAlignment="1">
      <alignment horizontal="center" vertical="center"/>
    </xf>
    <xf numFmtId="49" fontId="34" fillId="6" borderId="81" xfId="0" applyNumberFormat="1" applyFont="1" applyFill="1" applyBorder="1" applyAlignment="1">
      <alignment horizontal="center" vertical="center"/>
    </xf>
    <xf numFmtId="178" fontId="0" fillId="0" borderId="86" xfId="0" applyNumberFormat="1" applyFont="1" applyFill="1" applyBorder="1" applyAlignment="1">
      <alignment horizontal="center" vertical="center"/>
    </xf>
    <xf numFmtId="178" fontId="0" fillId="0" borderId="11" xfId="0" applyNumberFormat="1" applyFont="1" applyFill="1" applyBorder="1" applyAlignment="1">
      <alignment horizontal="center" vertical="center"/>
    </xf>
    <xf numFmtId="0" fontId="62" fillId="4" borderId="59" xfId="0" applyFont="1" applyFill="1" applyBorder="1" applyAlignment="1">
      <alignment horizontal="center" vertical="center"/>
    </xf>
    <xf numFmtId="0" fontId="62" fillId="4" borderId="5" xfId="0" applyFont="1" applyFill="1" applyBorder="1" applyAlignment="1">
      <alignment horizontal="center" vertical="center"/>
    </xf>
    <xf numFmtId="178" fontId="84" fillId="0" borderId="12" xfId="0" applyNumberFormat="1" applyFont="1" applyFill="1" applyBorder="1" applyAlignment="1">
      <alignment horizontal="center" vertical="center"/>
    </xf>
    <xf numFmtId="178" fontId="84" fillId="0" borderId="33" xfId="0" applyNumberFormat="1" applyFont="1" applyFill="1" applyBorder="1" applyAlignment="1">
      <alignment horizontal="center" vertical="center"/>
    </xf>
    <xf numFmtId="178" fontId="56" fillId="0" borderId="10" xfId="0" applyNumberFormat="1" applyFont="1" applyFill="1" applyBorder="1" applyAlignment="1">
      <alignment horizontal="center" vertical="center"/>
    </xf>
    <xf numFmtId="178" fontId="56" fillId="0" borderId="38" xfId="0" applyNumberFormat="1" applyFont="1" applyFill="1" applyBorder="1" applyAlignment="1">
      <alignment horizontal="center" vertical="center"/>
    </xf>
    <xf numFmtId="0" fontId="0" fillId="7" borderId="86" xfId="0" applyFill="1" applyBorder="1" applyAlignment="1">
      <alignment horizontal="center" vertical="center"/>
    </xf>
    <xf numFmtId="178" fontId="84" fillId="0" borderId="1" xfId="0" applyNumberFormat="1" applyFont="1" applyFill="1" applyBorder="1" applyAlignment="1">
      <alignment horizontal="center" vertical="center"/>
    </xf>
    <xf numFmtId="178" fontId="84" fillId="0" borderId="17" xfId="0" applyNumberFormat="1" applyFont="1" applyFill="1" applyBorder="1" applyAlignment="1">
      <alignment horizontal="center" vertical="center"/>
    </xf>
    <xf numFmtId="0" fontId="84" fillId="6" borderId="12" xfId="0" applyFont="1" applyFill="1" applyBorder="1" applyAlignment="1">
      <alignment horizontal="left" vertical="center"/>
    </xf>
    <xf numFmtId="0" fontId="85" fillId="6" borderId="12" xfId="0" applyFont="1" applyFill="1" applyBorder="1" applyAlignment="1">
      <alignment horizontal="left" vertical="center"/>
    </xf>
    <xf numFmtId="0" fontId="0" fillId="2" borderId="10" xfId="0" applyFill="1" applyBorder="1" applyAlignment="1">
      <alignment horizontal="center" vertical="center"/>
    </xf>
    <xf numFmtId="0" fontId="12" fillId="0" borderId="64" xfId="0" applyFont="1" applyBorder="1" applyAlignment="1">
      <alignment horizontal="left" vertical="center"/>
    </xf>
    <xf numFmtId="0" fontId="12" fillId="0" borderId="0" xfId="0" applyFont="1" applyBorder="1" applyAlignment="1">
      <alignment horizontal="left" vertical="center"/>
    </xf>
    <xf numFmtId="0" fontId="62" fillId="3" borderId="2" xfId="0" applyFont="1" applyFill="1" applyBorder="1" applyAlignment="1">
      <alignment horizontal="center" vertical="center"/>
    </xf>
    <xf numFmtId="0" fontId="62" fillId="3" borderId="5" xfId="0" applyFont="1" applyFill="1" applyBorder="1" applyAlignment="1">
      <alignment horizontal="center" vertical="center"/>
    </xf>
    <xf numFmtId="0" fontId="35" fillId="0" borderId="9" xfId="0" applyFont="1" applyBorder="1" applyAlignment="1">
      <alignment horizontal="center" vertical="center"/>
    </xf>
    <xf numFmtId="0" fontId="35" fillId="0" borderId="29" xfId="0" applyFont="1" applyBorder="1" applyAlignment="1">
      <alignment horizontal="center" vertical="center"/>
    </xf>
    <xf numFmtId="0" fontId="35" fillId="0" borderId="51" xfId="0" applyFont="1" applyBorder="1" applyAlignment="1">
      <alignment horizontal="center" vertical="center"/>
    </xf>
    <xf numFmtId="0" fontId="88" fillId="0" borderId="0" xfId="0" applyFont="1" applyAlignment="1">
      <alignment horizontal="center" vertical="center"/>
    </xf>
    <xf numFmtId="0" fontId="0" fillId="0" borderId="0" xfId="0"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left" vertical="center"/>
    </xf>
    <xf numFmtId="0" fontId="78" fillId="0" borderId="32" xfId="0" applyFont="1" applyBorder="1" applyAlignment="1">
      <alignment horizontal="center" vertical="center"/>
    </xf>
    <xf numFmtId="0" fontId="78" fillId="0" borderId="15" xfId="0" applyFont="1" applyBorder="1" applyAlignment="1">
      <alignment horizontal="center" vertical="center"/>
    </xf>
    <xf numFmtId="0" fontId="78" fillId="0" borderId="62" xfId="0" applyFont="1" applyBorder="1" applyAlignment="1">
      <alignment horizontal="center" vertical="center"/>
    </xf>
    <xf numFmtId="0" fontId="86" fillId="0" borderId="32" xfId="0" applyFont="1" applyBorder="1" applyAlignment="1">
      <alignment horizontal="center" vertical="center"/>
    </xf>
    <xf numFmtId="0" fontId="86" fillId="0" borderId="9" xfId="0" applyFont="1" applyBorder="1" applyAlignment="1">
      <alignment horizontal="center" vertical="center"/>
    </xf>
    <xf numFmtId="0" fontId="35" fillId="0" borderId="15" xfId="0" applyFont="1" applyBorder="1" applyAlignment="1">
      <alignment horizontal="center" vertical="center"/>
    </xf>
    <xf numFmtId="0" fontId="86" fillId="0" borderId="62" xfId="0" applyFont="1" applyBorder="1" applyAlignment="1">
      <alignment horizontal="center" vertical="center"/>
    </xf>
    <xf numFmtId="0" fontId="86" fillId="0" borderId="51" xfId="0" applyFont="1" applyBorder="1" applyAlignment="1">
      <alignment horizontal="center" vertical="center"/>
    </xf>
    <xf numFmtId="0" fontId="35" fillId="0" borderId="43" xfId="0" applyFont="1" applyBorder="1" applyAlignment="1">
      <alignment horizontal="center" vertical="center"/>
    </xf>
    <xf numFmtId="0" fontId="35" fillId="0" borderId="13" xfId="0" applyFont="1" applyBorder="1" applyAlignment="1">
      <alignment horizontal="center" vertical="center"/>
    </xf>
    <xf numFmtId="0" fontId="86" fillId="0" borderId="43" xfId="0" applyFont="1" applyBorder="1" applyAlignment="1">
      <alignment horizontal="center" vertical="center"/>
    </xf>
    <xf numFmtId="0" fontId="86" fillId="0" borderId="13" xfId="0" applyFont="1" applyBorder="1" applyAlignment="1">
      <alignment horizontal="center" vertical="center"/>
    </xf>
    <xf numFmtId="0" fontId="35" fillId="0" borderId="40" xfId="0" applyFont="1" applyBorder="1" applyAlignment="1">
      <alignment horizontal="center" vertical="center"/>
    </xf>
    <xf numFmtId="0" fontId="86" fillId="0" borderId="63" xfId="0" applyFont="1" applyBorder="1" applyAlignment="1">
      <alignment horizontal="center" vertical="center"/>
    </xf>
    <xf numFmtId="0" fontId="87" fillId="0" borderId="32" xfId="0" applyFont="1" applyBorder="1" applyAlignment="1">
      <alignment horizontal="center" vertical="center"/>
    </xf>
    <xf numFmtId="0" fontId="87" fillId="0" borderId="62" xfId="0" applyFont="1" applyBorder="1" applyAlignment="1">
      <alignment horizontal="center" vertical="center"/>
    </xf>
    <xf numFmtId="0" fontId="35" fillId="0" borderId="34" xfId="0" applyFont="1" applyBorder="1" applyAlignment="1">
      <alignment horizontal="center" vertical="center"/>
    </xf>
    <xf numFmtId="0" fontId="35" fillId="0" borderId="16" xfId="0" applyFont="1" applyBorder="1" applyAlignment="1">
      <alignment horizontal="center" vertical="center"/>
    </xf>
    <xf numFmtId="0" fontId="35" fillId="0" borderId="4" xfId="0" applyFont="1" applyBorder="1" applyAlignment="1">
      <alignment horizontal="center" vertical="center"/>
    </xf>
    <xf numFmtId="0" fontId="35" fillId="0" borderId="7" xfId="0" applyFont="1" applyBorder="1" applyAlignment="1">
      <alignment horizontal="center" vertical="center"/>
    </xf>
    <xf numFmtId="14" fontId="78" fillId="0" borderId="43" xfId="0" applyNumberFormat="1" applyFont="1" applyBorder="1" applyAlignment="1">
      <alignment horizontal="center" vertical="center"/>
    </xf>
    <xf numFmtId="14" fontId="78" fillId="0" borderId="13" xfId="0" applyNumberFormat="1" applyFont="1" applyBorder="1" applyAlignment="1">
      <alignment horizontal="center" vertical="center"/>
    </xf>
    <xf numFmtId="0" fontId="86" fillId="0" borderId="15" xfId="0" applyFont="1" applyBorder="1" applyAlignment="1">
      <alignment horizontal="center" vertical="center"/>
    </xf>
    <xf numFmtId="0" fontId="86" fillId="0" borderId="40" xfId="0" applyFont="1" applyBorder="1" applyAlignment="1">
      <alignment horizontal="center" vertical="center"/>
    </xf>
    <xf numFmtId="0" fontId="42" fillId="0" borderId="102" xfId="1" applyFont="1" applyBorder="1" applyAlignment="1">
      <alignment horizontal="center" vertical="center"/>
    </xf>
    <xf numFmtId="0" fontId="42" fillId="0" borderId="101" xfId="1" applyFont="1" applyBorder="1" applyAlignment="1">
      <alignment horizontal="center" vertical="center"/>
    </xf>
    <xf numFmtId="49" fontId="14"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178" fontId="14" fillId="4" borderId="1" xfId="0" applyNumberFormat="1" applyFont="1" applyFill="1" applyBorder="1" applyAlignment="1">
      <alignment horizontal="center" vertical="center"/>
    </xf>
    <xf numFmtId="178" fontId="14" fillId="0" borderId="1" xfId="0" applyNumberFormat="1" applyFont="1" applyBorder="1" applyAlignment="1">
      <alignment horizontal="center" vertical="center" wrapText="1"/>
    </xf>
    <xf numFmtId="185" fontId="14" fillId="0" borderId="1" xfId="0" applyNumberFormat="1" applyFont="1" applyBorder="1" applyAlignment="1">
      <alignment horizontal="center" vertical="center" wrapText="1"/>
    </xf>
    <xf numFmtId="178" fontId="14" fillId="0" borderId="1" xfId="0" applyNumberFormat="1" applyFont="1" applyBorder="1" applyAlignment="1">
      <alignment vertical="center" wrapText="1"/>
    </xf>
    <xf numFmtId="0" fontId="14" fillId="5" borderId="0" xfId="0" applyFont="1" applyFill="1" applyAlignment="1">
      <alignment horizontal="center" vertical="center"/>
    </xf>
    <xf numFmtId="0" fontId="14" fillId="11" borderId="0" xfId="0" applyFont="1" applyFill="1" applyAlignment="1">
      <alignment horizontal="center" vertical="center"/>
    </xf>
    <xf numFmtId="0" fontId="95" fillId="4" borderId="1" xfId="1" applyFont="1" applyFill="1" applyBorder="1" applyAlignment="1">
      <alignment horizontal="center" vertical="center"/>
    </xf>
    <xf numFmtId="0" fontId="14" fillId="4" borderId="12" xfId="1" applyFont="1" applyFill="1" applyBorder="1" applyAlignment="1">
      <alignment horizontal="center" vertical="center"/>
    </xf>
  </cellXfs>
  <cellStyles count="472">
    <cellStyle name="一般" xfId="0" builtinId="0"/>
    <cellStyle name="一般 10" xfId="89" xr:uid="{77BA6A53-EB43-4056-91D6-C3DAE1A63C62}"/>
    <cellStyle name="一般 11" xfId="88" xr:uid="{79E412F9-8A92-4B74-B1A0-B4F81E41A215}"/>
    <cellStyle name="一般 12" xfId="87" xr:uid="{0FED9890-F86F-445E-988A-7095722FC61F}"/>
    <cellStyle name="一般 13" xfId="116" xr:uid="{F5D6FEBA-8C33-41AA-9970-33A424B60EC3}"/>
    <cellStyle name="一般 13 2" xfId="120" xr:uid="{351F43FD-9BFE-46E6-A3CE-CB288380BA98}"/>
    <cellStyle name="一般 13 2 2" xfId="130" xr:uid="{8EBD476C-7940-4822-8080-29279A31FD76}"/>
    <cellStyle name="一般 13 2 2 2" xfId="157" xr:uid="{82A318E7-BF0D-48CA-A2F0-3EFD8B137B78}"/>
    <cellStyle name="一般 13 2 2 2 2" xfId="161" xr:uid="{5F0039F4-66DE-4758-BBA7-1170B56113C4}"/>
    <cellStyle name="一般 13 2 2 2 3" xfId="469" xr:uid="{2FC7D7E3-9998-4115-94FD-6FB8F389F310}"/>
    <cellStyle name="一般 13 2 2 3" xfId="404" xr:uid="{23CF2182-C679-4387-8477-4D89C75FE4BF}"/>
    <cellStyle name="一般 13 2 2 4" xfId="426" xr:uid="{06D28A08-8841-42F2-A166-76FBB24F255B}"/>
    <cellStyle name="一般 13 2 2 5" xfId="451" xr:uid="{1F933229-2C8A-4E63-9BB1-36350405EAA7}"/>
    <cellStyle name="一般 13 2 3" xfId="138" xr:uid="{36C761B3-999D-4069-9216-B1F9FB1DB3F7}"/>
    <cellStyle name="一般 13 2 3 2" xfId="408" xr:uid="{440C1660-C87A-4905-B1D0-32B9184F4D2B}"/>
    <cellStyle name="一般 13 2 3 3" xfId="434" xr:uid="{8098093A-7A3F-4E78-B046-78C06B1D1973}"/>
    <cellStyle name="一般 13 2 3 4" xfId="160" xr:uid="{3D230A7A-CDBE-44B2-9C9C-4EF278D6A458}"/>
    <cellStyle name="一般 13 2 3 5" xfId="459" xr:uid="{10ED5AA3-1D2E-4C37-8BE6-FC25BCC3DB8A}"/>
    <cellStyle name="一般 13 2 4" xfId="147" xr:uid="{74549870-8A93-4140-80E6-42D18A1BDA4C}"/>
    <cellStyle name="一般 13 2 5" xfId="416" xr:uid="{18E48E26-9420-484D-8702-53F9B28120A7}"/>
    <cellStyle name="一般 13 2 6" xfId="441" xr:uid="{7E6EFB98-C42C-4F22-9D37-589A9FD014EB}"/>
    <cellStyle name="一般 13 3" xfId="123" xr:uid="{71C328BF-EC98-479C-AB91-96FA6DEB828A}"/>
    <cellStyle name="一般 13 3 2" xfId="150" xr:uid="{DD5157D0-72AC-4FC7-8B09-9E43A46A1ECF}"/>
    <cellStyle name="一般 13 3 2 2" xfId="410" xr:uid="{3E32141B-A424-4567-A0F5-6CC00BEBDE77}"/>
    <cellStyle name="一般 13 3 2 3" xfId="162" xr:uid="{93CF9ADB-BB44-4021-80D5-E0E077FAEBEB}"/>
    <cellStyle name="一般 13 3 2 4" xfId="462" xr:uid="{C8D113F1-A07D-4669-A80E-0023C3798039}"/>
    <cellStyle name="一般 13 3 3" xfId="401" xr:uid="{C50CCC8B-AD65-42CD-9F01-E296188147FA}"/>
    <cellStyle name="一般 13 3 4" xfId="419" xr:uid="{00E5900E-F3B4-4680-A3EB-717F99F67400}"/>
    <cellStyle name="一般 13 3 5" xfId="444" xr:uid="{FA4C6F3C-1AFE-48A5-AEF4-9EA44014B1C0}"/>
    <cellStyle name="一般 13 4" xfId="126" xr:uid="{4052B121-62CE-4D92-BF9F-70A6EBD840E7}"/>
    <cellStyle name="一般 13 4 2" xfId="153" xr:uid="{E04AFBDA-1BFA-4628-A82E-152D5A0B3A91}"/>
    <cellStyle name="一般 13 4 2 2" xfId="163" xr:uid="{96A1E49B-290F-47EC-9103-055BC43224F3}"/>
    <cellStyle name="一般 13 4 2 3" xfId="465" xr:uid="{0B1AAD7D-413F-41E9-8E8A-06EBEC0EE870}"/>
    <cellStyle name="一般 13 4 3" xfId="403" xr:uid="{FB5A4D24-2978-4838-9304-421A498981CD}"/>
    <cellStyle name="一般 13 4 4" xfId="422" xr:uid="{08D052BA-D6EB-479C-BA6E-C6E0B2E6526D}"/>
    <cellStyle name="一般 13 4 5" xfId="447" xr:uid="{23728B29-1B30-4513-908F-5C9A2059E79F}"/>
    <cellStyle name="一般 13 5" xfId="134" xr:uid="{539623E6-938B-4A89-85B4-B5249CF8DEDA}"/>
    <cellStyle name="一般 13 5 2" xfId="406" xr:uid="{116C1EE2-1E79-4038-9751-5B969FA7A047}"/>
    <cellStyle name="一般 13 5 3" xfId="430" xr:uid="{8F9B3290-2DAE-4888-BFD8-97C10449D123}"/>
    <cellStyle name="一般 13 5 4" xfId="159" xr:uid="{D686D777-4378-4F55-9E0C-9A6DB07CC3E7}"/>
    <cellStyle name="一般 13 5 5" xfId="455" xr:uid="{98C09267-BF79-4953-82EE-54D72FD9FEC3}"/>
    <cellStyle name="一般 13 6" xfId="143" xr:uid="{9D6C9520-5A84-403C-9608-4223B29CFEC4}"/>
    <cellStyle name="一般 13 7" xfId="412" xr:uid="{6D018556-51DB-4F0E-A1AA-EFCB051B7EF6}"/>
    <cellStyle name="一般 13 8" xfId="437" xr:uid="{6D79AB7D-CCA3-40D7-AE95-024E856540AF}"/>
    <cellStyle name="一般 14" xfId="117" xr:uid="{73D677DD-80BF-4574-A5B0-1C0A3B327920}"/>
    <cellStyle name="一般 14 2" xfId="127" xr:uid="{8D3C4ADA-2B66-40AB-8EBF-CBEF71A3CF97}"/>
    <cellStyle name="一般 14 2 2" xfId="154" xr:uid="{571A4B3C-8652-4AE2-8FAE-F8E45DFA79D3}"/>
    <cellStyle name="一般 14 2 2 2" xfId="466" xr:uid="{CF1F4BCA-2159-4D6A-A963-7FC1C754C319}"/>
    <cellStyle name="一般 14 2 3" xfId="405" xr:uid="{329B29E4-3BE3-4D22-A66F-5D0769920EE3}"/>
    <cellStyle name="一般 14 2 4" xfId="423" xr:uid="{3F803F65-F3D7-42DC-8633-BDA30AE58768}"/>
    <cellStyle name="一般 14 2 5" xfId="448" xr:uid="{E639FF8B-9E0C-46E0-BE94-259D9E03F2C0}"/>
    <cellStyle name="一般 14 3" xfId="135" xr:uid="{A3A51D42-DBF0-4E41-8243-26B5460E1DBC}"/>
    <cellStyle name="一般 14 3 2" xfId="251" xr:uid="{269ACB19-40A8-40F2-AA76-47E0B33C81C0}"/>
    <cellStyle name="一般 14 3 3" xfId="431" xr:uid="{A2B472EA-30F9-4DE7-924A-140CAF318E7D}"/>
    <cellStyle name="一般 14 3 4" xfId="164" xr:uid="{223691D3-9F54-4843-B98A-96FD1C06B272}"/>
    <cellStyle name="一般 14 3 5" xfId="456" xr:uid="{79B45335-377B-405E-8312-1ABAF006FF45}"/>
    <cellStyle name="一般 14 4" xfId="144" xr:uid="{C3568A0E-1232-42E6-AE7A-835893A3C526}"/>
    <cellStyle name="一般 14 5" xfId="407" xr:uid="{9C27AC5D-AB24-40D1-ADD2-DDA8E0D1E584}"/>
    <cellStyle name="一般 14 6" xfId="413" xr:uid="{DC38B5A6-7AA9-4F62-BB43-466F96653C88}"/>
    <cellStyle name="一般 14 7" xfId="438" xr:uid="{A3F1ECB6-1E4B-4C73-844C-247EF1099E6E}"/>
    <cellStyle name="一般 15" xfId="131" xr:uid="{B61B907B-6A9B-4668-ABB4-AAFB69D629C1}"/>
    <cellStyle name="一般 15 2" xfId="158" xr:uid="{C46623F1-924D-4121-BA90-8F8D3D1FDC53}"/>
    <cellStyle name="一般 15 2 2" xfId="470" xr:uid="{3936F02B-94FE-4BC0-9733-6E7D429A5AD5}"/>
    <cellStyle name="一般 15 3" xfId="427" xr:uid="{6B26F80F-5398-4CBC-A29C-3C33109DF9D7}"/>
    <cellStyle name="一般 15 4" xfId="452" xr:uid="{2726F589-78FF-45C8-A05F-EC81BD46FC39}"/>
    <cellStyle name="一般 2" xfId="1" xr:uid="{00000000-0005-0000-0000-000001000000}"/>
    <cellStyle name="一般 2 2" xfId="2" xr:uid="{00000000-0005-0000-0000-000002000000}"/>
    <cellStyle name="一般 2 2 2" xfId="32" xr:uid="{141666D9-089F-4295-9218-97294602219A}"/>
    <cellStyle name="一般 2 2 2 2" xfId="86" xr:uid="{8F98D1D7-31A9-45C0-BB5E-AD6863C431D7}"/>
    <cellStyle name="一般 2 2 2 3" xfId="85" xr:uid="{90E7CC00-BE0A-4E1F-A6C5-84145A3E0498}"/>
    <cellStyle name="一般 2 2 3" xfId="84" xr:uid="{D8CEC9F5-76D4-4CC5-92D5-8D1227182ADD}"/>
    <cellStyle name="一般 2 2 3 2" xfId="83" xr:uid="{2B8DED91-5B7B-44AB-96CE-AD0E18EC8B7F}"/>
    <cellStyle name="一般 2 2 3 3" xfId="165" xr:uid="{E7A9F8AA-2417-4E75-B9F9-2DE3FCC5A71C}"/>
    <cellStyle name="一般 2 2 3 3 2" xfId="166" xr:uid="{DEFC6DCD-384A-4F8C-A01B-0C4F7081FFAE}"/>
    <cellStyle name="一般 2 2 3 3 3" xfId="167" xr:uid="{1CE12825-5277-40B8-8659-46CCB78A132C}"/>
    <cellStyle name="一般 2 3" xfId="82" xr:uid="{AA83BC47-72A1-4F1D-99DC-4DBAFEB9A923}"/>
    <cellStyle name="一般 2 3 2" xfId="168" xr:uid="{B040086E-E9F1-443A-B84F-2DBE73A18CB4}"/>
    <cellStyle name="一般 3" xfId="3" xr:uid="{00000000-0005-0000-0000-000003000000}"/>
    <cellStyle name="一般 3 2" xfId="4" xr:uid="{00000000-0005-0000-0000-000004000000}"/>
    <cellStyle name="一般 3 2 2" xfId="35" xr:uid="{12AB5A48-F0B2-44FD-9DBC-D5E331726B90}"/>
    <cellStyle name="一般 3 2 2 2" xfId="81" xr:uid="{EDE822E5-2AA9-4490-95B3-4C357B87DBF2}"/>
    <cellStyle name="一般 3 2 2 2 2" xfId="169" xr:uid="{1728DBA1-B706-4241-8958-F27A64428478}"/>
    <cellStyle name="一般 3 2 2 2 2 2" xfId="170" xr:uid="{605C5006-9A56-4E15-AC0A-A77A86FBEA87}"/>
    <cellStyle name="一般 3 2 2 2 3" xfId="171" xr:uid="{9A6FB4CA-50C7-40EB-9BBE-B0CFE95D4234}"/>
    <cellStyle name="一般 3 2 2 2 3 2" xfId="172" xr:uid="{91F482C3-B60F-45FB-BC31-CAA021903C05}"/>
    <cellStyle name="一般 3 2 2 3" xfId="173" xr:uid="{73822A42-4EE6-45E0-AD0E-C3CCCA44C310}"/>
    <cellStyle name="一般 3 2 2 3 2" xfId="174" xr:uid="{06F37AB3-A279-40E8-ADCF-A70E4944EEB2}"/>
    <cellStyle name="一般 3 2 2 3 3" xfId="175" xr:uid="{ED0CFC4D-C310-4FEA-A724-285AEEBD007B}"/>
    <cellStyle name="一般 3 2 2 4" xfId="176" xr:uid="{E694E520-0FC6-4E61-8416-5004DC3CF192}"/>
    <cellStyle name="一般 3 2 2 4 2" xfId="177" xr:uid="{003E8587-B1EE-4ABE-8BB7-29F08CDCFFB3}"/>
    <cellStyle name="一般 3 2 2 5" xfId="178" xr:uid="{49736E53-0500-465C-93C5-4B305BD9E4AB}"/>
    <cellStyle name="一般 3 2 3" xfId="36" xr:uid="{76F3D0F8-6E98-47FA-831C-A9B975A98696}"/>
    <cellStyle name="一般 3 2 3 2" xfId="30" xr:uid="{71FDA1F5-FA62-4034-BD1B-802CDD72CE95}"/>
    <cellStyle name="一般 3 2 3 2 2" xfId="179" xr:uid="{3F2C3D16-E343-44BA-84C3-237E0FAF317A}"/>
    <cellStyle name="一般 3 2 3 2 2 2" xfId="180" xr:uid="{114047CB-D115-4786-9495-16337AE5ED37}"/>
    <cellStyle name="一般 3 2 3 2 2 3" xfId="181" xr:uid="{3FEB740C-5F99-409C-9E6E-C6CB6B9E6EA1}"/>
    <cellStyle name="一般 3 2 3 3" xfId="31" xr:uid="{9F933C9C-F484-4CAF-AC84-06655FF7ED8A}"/>
    <cellStyle name="一般 3 2 3 3 2" xfId="182" xr:uid="{E92A92F0-2B8D-473D-AC90-39F0D66A9399}"/>
    <cellStyle name="一般 3 2 3 3 2 2" xfId="183" xr:uid="{D171CAFD-008C-4706-AA2B-1771D0B94B2B}"/>
    <cellStyle name="一般 3 2 3 3 3" xfId="184" xr:uid="{814D2E80-FC08-459A-8DCE-94E078F7DCCA}"/>
    <cellStyle name="一般 3 2 3 4" xfId="33" xr:uid="{6B950894-52E0-47B9-B385-EF7D3CF1E15D}"/>
    <cellStyle name="一般 3 2 3 5" xfId="185" xr:uid="{8CE64D05-5DC1-4D4F-878E-0129B4EF52F5}"/>
    <cellStyle name="一般 3 2 3 5 2" xfId="186" xr:uid="{4595C3BF-0492-4668-B2BF-4EAF77AF9DE4}"/>
    <cellStyle name="一般 3 2 3 6" xfId="187" xr:uid="{D9DC694B-F51F-4979-B02C-45A98B5562E1}"/>
    <cellStyle name="一般 3 2 4" xfId="34" xr:uid="{78D3916B-C41B-4FBD-BFD2-B3F68CDDC48A}"/>
    <cellStyle name="一般 3 2 4 2" xfId="188" xr:uid="{D4B56B50-AE3F-41B8-A058-6D6E2E0DB646}"/>
    <cellStyle name="一般 3 2 4 2 2" xfId="189" xr:uid="{F105B01A-6240-41A3-A0A9-60CD48B97E89}"/>
    <cellStyle name="一般 3 2 4 2 3" xfId="190" xr:uid="{70F93332-473A-43C2-A55E-64F55E4FAA90}"/>
    <cellStyle name="一般 3 2 4 3" xfId="191" xr:uid="{3D37786C-3C60-4316-9508-899F949584D8}"/>
    <cellStyle name="一般 3 2 5" xfId="37" xr:uid="{695F396D-DBD0-4363-A700-2299557C05ED}"/>
    <cellStyle name="一般 3 2 5 2" xfId="192" xr:uid="{C10D4B7B-1CB8-462A-8991-957BCF63856A}"/>
    <cellStyle name="一般 3 2 5 2 2" xfId="193" xr:uid="{58149EEB-378E-4C38-B27C-AEA53E86E77C}"/>
    <cellStyle name="一般 3 2 5 3" xfId="194" xr:uid="{2948A7C4-5B2B-4D2F-B669-740EC7892DA7}"/>
    <cellStyle name="一般 3 2 5 3 2" xfId="195" xr:uid="{EC72F946-1717-4C4A-824F-3BE13DDC52B9}"/>
    <cellStyle name="一般 3 2 6" xfId="196" xr:uid="{C7AD8E6F-52BC-4F04-8737-DC28BF55F152}"/>
    <cellStyle name="一般 3 2 6 2" xfId="197" xr:uid="{FAA320DE-A9F1-46C8-B1FE-5EF5FDDF7CC6}"/>
    <cellStyle name="一般 3 2 6 2 2" xfId="198" xr:uid="{02EE60DB-A658-458E-91DF-D17CD0D0325D}"/>
    <cellStyle name="一般 3 2 6 2 3" xfId="199" xr:uid="{92006991-CAE6-4B66-8FFC-9E987B2FF6EB}"/>
    <cellStyle name="一般 3 2 7" xfId="200" xr:uid="{F0840C59-4215-46E2-9542-08F52C85C61A}"/>
    <cellStyle name="一般 3 2 7 2" xfId="201" xr:uid="{F94AFF8C-3D7E-4ABF-9EF4-269759A64C07}"/>
    <cellStyle name="一般 3 2 8" xfId="202" xr:uid="{0359814D-99F8-4BEE-9D62-463EBFEED580}"/>
    <cellStyle name="一般 3 3" xfId="5" xr:uid="{00000000-0005-0000-0000-000005000000}"/>
    <cellStyle name="一般 3 3 2" xfId="38" xr:uid="{E0A08F0A-75D2-46A7-BCC5-80C2C1FF01C4}"/>
    <cellStyle name="一般 3 3 2 2" xfId="139" xr:uid="{951634A0-9193-4A9C-81F7-A3FE8676C1F8}"/>
    <cellStyle name="一般 3 3 3" xfId="39" xr:uid="{BF3B85D5-DC41-4C53-8272-7A7D711292A9}"/>
    <cellStyle name="一般 3 3 4" xfId="40" xr:uid="{304F2521-A2E4-496A-B8E7-F9DF9B7C8AEF}"/>
    <cellStyle name="一般 3 3 5" xfId="41" xr:uid="{33FE6DA2-A15A-4A10-83BF-B9BECFBCBFD7}"/>
    <cellStyle name="一般 3 4" xfId="42" xr:uid="{ABB0ED03-86BB-46E5-9B1D-7308908EE711}"/>
    <cellStyle name="一般 3 4 2" xfId="46" xr:uid="{65FEE8C0-77EA-45D2-B821-EB0AB90C9FC8}"/>
    <cellStyle name="一般 3 4 2 2" xfId="204" xr:uid="{8CB3D376-C648-41B4-93EF-D66B4CE0723F}"/>
    <cellStyle name="一般 3 4 2 2 2" xfId="205" xr:uid="{44AB413D-7A4E-4D05-BB68-1040200B7D1D}"/>
    <cellStyle name="一般 3 4 2 3" xfId="206" xr:uid="{A12185FD-873D-4039-8592-E3A41A11A77D}"/>
    <cellStyle name="一般 3 4 2 3 2" xfId="207" xr:uid="{FC1F796A-CF55-4F11-BDE5-4F1B644616DC}"/>
    <cellStyle name="一般 3 4 3" xfId="208" xr:uid="{64642D11-36C8-4CFD-9D43-EA51DDD3AE75}"/>
    <cellStyle name="一般 3 4 3 2" xfId="209" xr:uid="{51F0CBC0-840C-478F-B116-F6BE2DFECEC6}"/>
    <cellStyle name="一般 3 4 4" xfId="210" xr:uid="{91628E3C-997D-4BEF-B15E-A39362579F39}"/>
    <cellStyle name="一般 3 5" xfId="47" xr:uid="{C23B3D3B-750A-49F2-AC63-AA4BA93FD5A0}"/>
    <cellStyle name="一般 3 5 2" xfId="48" xr:uid="{7A643512-E398-45C4-A0A9-91898BC7ABC9}"/>
    <cellStyle name="一般 3 5 2 2" xfId="211" xr:uid="{C0EF14B9-6DDF-4094-835B-94E53967624E}"/>
    <cellStyle name="一般 3 5 2 2 2" xfId="212" xr:uid="{406FE2FA-9E94-43F3-B10F-A0D2D56D7E8F}"/>
    <cellStyle name="一般 3 5 2 3" xfId="213" xr:uid="{91742FA4-E406-4DF0-8282-718C220C1A8B}"/>
    <cellStyle name="一般 3 5 2 3 2" xfId="214" xr:uid="{63A61B57-5902-473C-8B5E-5F86A2CE9582}"/>
    <cellStyle name="一般 3 5 3" xfId="215" xr:uid="{FCE7B683-3F61-4A6A-A4C4-5EDF075BF252}"/>
    <cellStyle name="一般 3 5 3 2" xfId="216" xr:uid="{808D3084-E4DA-4BAB-873D-4BA77AACA799}"/>
    <cellStyle name="一般 3 5 4" xfId="217" xr:uid="{FDA449E2-C398-4185-9866-62CFC145A16D}"/>
    <cellStyle name="一般 3 6" xfId="49" xr:uid="{F7BB0E02-97D0-4C11-8ADD-1DAFD3E74BDB}"/>
    <cellStyle name="一般 3 6 2" xfId="218" xr:uid="{6B14A17C-FA7A-4090-8EAA-6DA86548FC92}"/>
    <cellStyle name="一般 3 6 2 2" xfId="219" xr:uid="{46E3A745-ABE0-4ACB-8151-3F0A620CB75A}"/>
    <cellStyle name="一般 3 6 2 3" xfId="220" xr:uid="{9EEA8664-C9A8-4836-8AB9-01E140465E6B}"/>
    <cellStyle name="一般 3 6 3" xfId="221" xr:uid="{2A36B023-3488-4D2B-B12B-A1B732631C1A}"/>
    <cellStyle name="一般 3 6 3 2" xfId="222" xr:uid="{066AEB24-F836-4618-B9BE-ACBBAC8D0CB0}"/>
    <cellStyle name="一般 3 6 4" xfId="223" xr:uid="{90DE4F63-5E65-46AB-B776-5E3826D1CAE5}"/>
    <cellStyle name="一般 3 7" xfId="50" xr:uid="{A3EE1B1B-EF32-4007-A4F3-EDE3CDE063B2}"/>
    <cellStyle name="一般 3 7 2" xfId="224" xr:uid="{06BC1E1F-F0AD-49FA-BD84-631736F8AD3B}"/>
    <cellStyle name="一般 3 7 2 2" xfId="225" xr:uid="{0B3A1FAD-89F0-4B12-A8F5-20FA1CA13931}"/>
    <cellStyle name="一般 3 7 2 2 2" xfId="226" xr:uid="{F9599F1F-4C4A-447F-ACC2-5C85671460B4}"/>
    <cellStyle name="一般 3 7 2 2 3" xfId="227" xr:uid="{6C7DF67F-5168-4B4B-9982-C6250D57E640}"/>
    <cellStyle name="一般 3 7 3" xfId="228" xr:uid="{836A8FB3-5968-4E1D-9D2D-E190490EF260}"/>
    <cellStyle name="一般 3 7 3 2" xfId="229" xr:uid="{3A80A73C-C94B-4059-8256-6E5A61EA6184}"/>
    <cellStyle name="一般 3 7 4" xfId="230" xr:uid="{617C6177-6409-4933-AD7D-3C6E84989AC5}"/>
    <cellStyle name="一般 3 8" xfId="231" xr:uid="{04592A5B-283A-4D7C-AD40-91B0BEFA328C}"/>
    <cellStyle name="一般 3 8 2" xfId="232" xr:uid="{594EBEEB-28E7-450E-BFDD-A6076EAC1D24}"/>
    <cellStyle name="一般 3 8 3" xfId="233" xr:uid="{28CB6914-D90A-4848-A2AA-82ECE21EBC2A}"/>
    <cellStyle name="一般 3 9" xfId="234" xr:uid="{2F76D82B-5673-43B8-9510-80F7CC8BDF1C}"/>
    <cellStyle name="一般 3 9 2" xfId="235" xr:uid="{7F87FB10-D166-4803-A86D-7B7C40976882}"/>
    <cellStyle name="一般 4" xfId="6" xr:uid="{00000000-0005-0000-0000-000006000000}"/>
    <cellStyle name="一般 4 2" xfId="57" xr:uid="{74F3EFC5-0FC7-4A72-B87E-F7F02423685D}"/>
    <cellStyle name="一般 4 2 2" xfId="236" xr:uid="{CBE4889D-C6EA-43B6-A0EA-924A8EA6C79A}"/>
    <cellStyle name="一般 4 3" xfId="58" xr:uid="{02BBF5BF-762C-4B86-A3FC-CE86B31359D8}"/>
    <cellStyle name="一般 4 3 2" xfId="237" xr:uid="{37DA9F06-B67B-4E84-BFF5-B5508747113F}"/>
    <cellStyle name="一般 4 3 2 2" xfId="238" xr:uid="{A8DAD255-7AA8-4DF6-907C-046D0CBCB508}"/>
    <cellStyle name="一般 4 3 3" xfId="239" xr:uid="{7CD4F0FD-26CE-4767-BC8F-A4518B61F26A}"/>
    <cellStyle name="一般 4 4" xfId="61" xr:uid="{73B26A23-78DD-4839-8578-CE9E61FA4B72}"/>
    <cellStyle name="一般 4 5" xfId="66" xr:uid="{AD34287C-7671-45D7-9D16-04943F05C5CE}"/>
    <cellStyle name="一般 4 6" xfId="67" xr:uid="{F4081877-698A-4AE5-BF51-FF56147C5D36}"/>
    <cellStyle name="一般 4 6 2" xfId="240" xr:uid="{518F7B39-3A67-4C55-A6B1-9801F28B7006}"/>
    <cellStyle name="一般 4 7" xfId="241" xr:uid="{C25D930D-6999-48B6-8F5B-A145C54B22BA}"/>
    <cellStyle name="一般 4 7 2" xfId="242" xr:uid="{D6C40E92-5071-4DBA-85C4-E0D7B5994BB2}"/>
    <cellStyle name="一般 5" xfId="7" xr:uid="{00000000-0005-0000-0000-000007000000}"/>
    <cellStyle name="一般 5 2" xfId="90" xr:uid="{3EF2B0FE-3035-461E-A193-455578FE6229}"/>
    <cellStyle name="一般 6" xfId="8" xr:uid="{00000000-0005-0000-0000-000008000000}"/>
    <cellStyle name="一般 6 2" xfId="9" xr:uid="{00000000-0005-0000-0000-000009000000}"/>
    <cellStyle name="一般 6 2 2" xfId="243" xr:uid="{EBBDB51D-268D-469F-809B-8BBC99F62796}"/>
    <cellStyle name="一般 6 2 3" xfId="244" xr:uid="{FBBA3138-F71B-47A1-A7D6-420D53FAC2B7}"/>
    <cellStyle name="一般 7" xfId="10" xr:uid="{00000000-0005-0000-0000-00000A000000}"/>
    <cellStyle name="一般 7 2" xfId="91" xr:uid="{DADB43D6-7318-4EF9-B5AF-E8186AEC2132}"/>
    <cellStyle name="一般 7 3" xfId="92" xr:uid="{0F03425C-1E83-4D58-A9B9-C976C0F0E075}"/>
    <cellStyle name="一般 7 4" xfId="93" xr:uid="{3118CD0D-643E-47FE-AB65-4AB49E291A95}"/>
    <cellStyle name="一般 8" xfId="11" xr:uid="{00000000-0005-0000-0000-00000B000000}"/>
    <cellStyle name="一般 9" xfId="29" xr:uid="{AF05CAA9-D08C-469F-A0EE-CE2F7B1114D3}"/>
    <cellStyle name="一般 9 10" xfId="140" xr:uid="{8953C82E-C45E-41A1-9264-CB6D83D8FC32}"/>
    <cellStyle name="一般 9 10 2" xfId="453" xr:uid="{0834EBE4-BF5D-4266-A70A-72CE3FC9F39B}"/>
    <cellStyle name="一般 9 2" xfId="44" xr:uid="{ECD679DC-B4EA-44C9-BF06-F8DDFBDE05A2}"/>
    <cellStyle name="一般 9 3" xfId="45" xr:uid="{C97E3DD5-2082-46A2-909F-5B2CE302736C}"/>
    <cellStyle name="一般 9 4" xfId="43" xr:uid="{6204717C-09F6-42E3-BD6A-0D1995197277}"/>
    <cellStyle name="一般 9 5" xfId="115" xr:uid="{5D8F555E-1367-4FCF-ACAF-91969994CD55}"/>
    <cellStyle name="一般 9 5 2" xfId="119" xr:uid="{CC0C72D3-6572-497A-98E7-9D37EA7E9DA1}"/>
    <cellStyle name="一般 9 5 2 2" xfId="129" xr:uid="{767042C1-5ADD-407E-B302-0091C85D633B}"/>
    <cellStyle name="一般 9 5 2 2 2" xfId="156" xr:uid="{EB1A068D-2E22-49FF-A411-40664E330A4C}"/>
    <cellStyle name="一般 9 5 2 2 2 2" xfId="468" xr:uid="{81F47471-9E5C-40B1-8C11-9584EBF8AD6E}"/>
    <cellStyle name="一般 9 5 2 2 3" xfId="425" xr:uid="{3BBD2ECE-9235-46BA-8A88-F3CC1E03C0AE}"/>
    <cellStyle name="一般 9 5 2 2 4" xfId="450" xr:uid="{1216015F-3868-46A2-88E5-64BF9B16D960}"/>
    <cellStyle name="一般 9 5 2 3" xfId="137" xr:uid="{C09DB286-57FF-48D8-960D-C002F5DF84B2}"/>
    <cellStyle name="一般 9 5 2 3 2" xfId="433" xr:uid="{8AD78D7B-D924-4F1E-8F30-6070764DFEC3}"/>
    <cellStyle name="一般 9 5 2 3 3" xfId="246" xr:uid="{4FA10AAF-EE7E-408C-9995-378234D5EC71}"/>
    <cellStyle name="一般 9 5 2 3 4" xfId="458" xr:uid="{DDA23DB3-1A18-43F5-AB60-84C1B2D6A1AD}"/>
    <cellStyle name="一般 9 5 2 4" xfId="146" xr:uid="{1D3BF9F6-ED10-4BF4-A340-5BDB357FA43E}"/>
    <cellStyle name="一般 9 5 2 5" xfId="415" xr:uid="{4FD53C74-6C40-4D35-AC24-35EA016D319B}"/>
    <cellStyle name="一般 9 5 2 6" xfId="440" xr:uid="{007D4AA3-1DBB-4C21-B735-EDA506756785}"/>
    <cellStyle name="一般 9 5 3" xfId="122" xr:uid="{E16E9A83-F5B4-4BBC-AE08-12DAD57AF42B}"/>
    <cellStyle name="一般 9 5 3 2" xfId="149" xr:uid="{D465D574-BBE0-4C91-B59A-AD6FBE2E535C}"/>
    <cellStyle name="一般 9 5 3 2 2" xfId="409" xr:uid="{079776D9-7B9F-431D-BD4B-E1972FBE1F58}"/>
    <cellStyle name="一般 9 5 3 2 3" xfId="247" xr:uid="{592A1E8A-7092-4180-8585-2639D1958710}"/>
    <cellStyle name="一般 9 5 3 2 4" xfId="461" xr:uid="{EA5B636B-7271-48D9-8E09-38198C0D5843}"/>
    <cellStyle name="一般 9 5 3 3" xfId="400" xr:uid="{96DD8736-BC04-4CA1-A65A-DA4463414815}"/>
    <cellStyle name="一般 9 5 3 4" xfId="418" xr:uid="{49AB11F1-47EE-41DF-902E-98EF9C1EA52A}"/>
    <cellStyle name="一般 9 5 3 5" xfId="443" xr:uid="{CF6CCFD1-6271-49CA-A25F-CC5695A7918D}"/>
    <cellStyle name="一般 9 5 4" xfId="125" xr:uid="{C672A943-C6B2-4768-879F-FEC4C0A87122}"/>
    <cellStyle name="一般 9 5 4 2" xfId="152" xr:uid="{B8777C97-1D96-4047-846F-A478DCC17293}"/>
    <cellStyle name="一般 9 5 4 2 2" xfId="464" xr:uid="{B33B5B8D-E7F8-4E76-A721-47D211C1AC9E}"/>
    <cellStyle name="一般 9 5 4 3" xfId="421" xr:uid="{D8E8CCCE-2152-4120-82FC-2ED75A327276}"/>
    <cellStyle name="一般 9 5 4 4" xfId="446" xr:uid="{A91FA12D-219E-4DC1-9779-D47485A386A1}"/>
    <cellStyle name="一般 9 5 5" xfId="133" xr:uid="{0D9F9123-E27E-4B9A-8960-CA947957A45A}"/>
    <cellStyle name="一般 9 5 5 2" xfId="429" xr:uid="{B92D94A3-C7D1-4DED-A740-8D3156012D33}"/>
    <cellStyle name="一般 9 5 5 3" xfId="245" xr:uid="{27B80DA0-FDE6-4545-BAA8-A6FAABEB651C}"/>
    <cellStyle name="一般 9 5 5 4" xfId="454" xr:uid="{B8D223D0-7F9C-4070-B7A9-F24C3162F94C}"/>
    <cellStyle name="一般 9 5 6" xfId="142" xr:uid="{669E87FD-0CCA-49B0-A478-370A74142FD0}"/>
    <cellStyle name="一般 9 5 7" xfId="411" xr:uid="{6B41E8D5-62F8-4F8E-A707-252255214874}"/>
    <cellStyle name="一般 9 5 8" xfId="436" xr:uid="{7BACC5B8-9202-4744-95DD-CFDAF8E86D53}"/>
    <cellStyle name="一般 9 6" xfId="118" xr:uid="{5A5BCA2B-6695-4167-BAC0-68A61ABBBDA0}"/>
    <cellStyle name="一般 9 6 2" xfId="128" xr:uid="{83BA5957-ABE6-49AF-BC4C-84C6D7DA8B62}"/>
    <cellStyle name="一般 9 6 2 2" xfId="155" xr:uid="{B04BA294-C908-427A-BA16-00824C1F8273}"/>
    <cellStyle name="一般 9 6 2 2 2" xfId="467" xr:uid="{687159EE-A9F4-445A-B14F-410BA0618541}"/>
    <cellStyle name="一般 9 6 2 3" xfId="424" xr:uid="{A9A540EC-1568-4DE7-8F47-A83E52EDA84D}"/>
    <cellStyle name="一般 9 6 2 4" xfId="449" xr:uid="{5C64E969-1D77-4993-803F-BE5DAA3EA729}"/>
    <cellStyle name="一般 9 6 3" xfId="136" xr:uid="{205083FD-8489-4BC5-8819-75729B40306A}"/>
    <cellStyle name="一般 9 6 3 2" xfId="432" xr:uid="{A8E4484E-CFB9-4D1E-95A2-2005471D6148}"/>
    <cellStyle name="一般 9 6 3 3" xfId="248" xr:uid="{056B566E-919D-4851-9831-C7B9ED0DCAEC}"/>
    <cellStyle name="一般 9 6 3 4" xfId="457" xr:uid="{27D55EAD-FD4E-4539-B2B3-8C5639F4ADD6}"/>
    <cellStyle name="一般 9 6 4" xfId="145" xr:uid="{6CC362C5-4DCA-4FF5-B558-801B9703D560}"/>
    <cellStyle name="一般 9 6 5" xfId="414" xr:uid="{2CE3A222-83D4-4178-9B52-C64C550FAFE2}"/>
    <cellStyle name="一般 9 6 6" xfId="439" xr:uid="{CDB43089-70B6-4E6B-ADDC-452491DEF5E9}"/>
    <cellStyle name="一般 9 7" xfId="121" xr:uid="{FAD6BE69-97B5-441B-89EC-1AEB3089CE19}"/>
    <cellStyle name="一般 9 7 2" xfId="148" xr:uid="{1FE085CD-FC45-4EE8-AFC1-938E44112D1B}"/>
    <cellStyle name="一般 9 7 2 2" xfId="398" xr:uid="{E653087D-8E4E-4B7B-90F1-F1B6EFD0F795}"/>
    <cellStyle name="一般 9 7 2 3" xfId="249" xr:uid="{B80D740A-276C-45B7-B8EE-BDD9FFDF1481}"/>
    <cellStyle name="一般 9 7 2 4" xfId="460" xr:uid="{2FA99A98-CD36-45A7-9362-2BA9BD7B7A70}"/>
    <cellStyle name="一般 9 7 3" xfId="399" xr:uid="{84DA6FC9-6446-4D0A-957F-B65C2E579D61}"/>
    <cellStyle name="一般 9 7 4" xfId="417" xr:uid="{83400D2B-DC64-42FA-97AA-C1ADF00830CB}"/>
    <cellStyle name="一般 9 7 5" xfId="442" xr:uid="{CCC86DA7-76A4-4E4F-A974-57AE3EFAB772}"/>
    <cellStyle name="一般 9 8" xfId="124" xr:uid="{3524F0DD-8EB1-4C3E-AF18-2C26D850A7FD}"/>
    <cellStyle name="一般 9 8 2" xfId="151" xr:uid="{5FD54337-B37D-4679-881E-C3A5AF002263}"/>
    <cellStyle name="一般 9 8 2 2" xfId="250" xr:uid="{E0DDB151-ACB2-4D6E-9B71-369E0E37ED63}"/>
    <cellStyle name="一般 9 8 2 3" xfId="463" xr:uid="{F213F2E9-EA9F-47BD-A705-D48FF2C9E9C5}"/>
    <cellStyle name="一般 9 8 3" xfId="402" xr:uid="{A18DBAEF-4253-4F58-A9A8-F34CFA2E9498}"/>
    <cellStyle name="一般 9 8 4" xfId="420" xr:uid="{007C8349-4339-4164-B232-A6A8A2AD90AF}"/>
    <cellStyle name="一般 9 8 5" xfId="445" xr:uid="{372959BD-CBD0-4D7B-92CA-1036281D4135}"/>
    <cellStyle name="一般 9 9" xfId="132" xr:uid="{40F81B73-5355-445F-A5ED-FFE78B6B73F9}"/>
    <cellStyle name="一般 9 9 2" xfId="203" xr:uid="{DA02576E-5400-4256-A3EE-9ED56C779D5F}"/>
    <cellStyle name="一般 9 9 2 2" xfId="471" xr:uid="{AFE2EB32-4AC2-4249-A7C9-D35E45379A95}"/>
    <cellStyle name="一般 9 9 3" xfId="428" xr:uid="{FB9E0D7E-C2C5-42AC-A860-1F3E3E299A79}"/>
    <cellStyle name="一般 9 9 4" xfId="141" xr:uid="{AF53E16B-6534-4120-8719-0461A235BC17}"/>
    <cellStyle name="一般 9 9 5" xfId="435" xr:uid="{C436C303-6346-4506-A40F-1D6B0C47F0E8}"/>
    <cellStyle name="超連結 2" xfId="12" xr:uid="{00000000-0005-0000-0000-00000C000000}"/>
    <cellStyle name="超連結 2 10" xfId="252" xr:uid="{A94504FD-3455-49FC-891D-5566EF33ADEC}"/>
    <cellStyle name="超連結 2 10 2" xfId="253" xr:uid="{27B8342C-D250-41A3-929F-90938741234B}"/>
    <cellStyle name="超連結 2 10 3" xfId="254" xr:uid="{B8F01B98-1ADC-4389-9CF8-F44D584BFFF3}"/>
    <cellStyle name="超連結 2 11" xfId="255" xr:uid="{CED96703-B373-4993-8DF4-E3B99BE845E2}"/>
    <cellStyle name="超連結 2 12" xfId="256" xr:uid="{56E431CC-449E-4A95-A21C-5D4A47DAD2DF}"/>
    <cellStyle name="超連結 2 2" xfId="13" xr:uid="{00000000-0005-0000-0000-00000D000000}"/>
    <cellStyle name="超連結 2 2 2" xfId="14" xr:uid="{00000000-0005-0000-0000-00000E000000}"/>
    <cellStyle name="超連結 2 2 2 2" xfId="15" xr:uid="{00000000-0005-0000-0000-00000F000000}"/>
    <cellStyle name="超連結 2 2 2 2 2" xfId="16" xr:uid="{00000000-0005-0000-0000-000010000000}"/>
    <cellStyle name="超連結 2 2 2 2 2 2" xfId="51" xr:uid="{FC27D90C-B685-4056-9B7A-BFB5478395C8}"/>
    <cellStyle name="超連結 2 2 2 2 2 2 2" xfId="257" xr:uid="{65CEE1F6-64BB-4A8C-89C3-2AD0C2DDE1A4}"/>
    <cellStyle name="超連結 2 2 2 2 2 3" xfId="258" xr:uid="{4B105299-26A8-4E56-848B-904C84E92847}"/>
    <cellStyle name="超連結 2 2 2 2 2 4" xfId="259" xr:uid="{2AE1DF89-43FA-45CD-9EB7-4B3C106596C6}"/>
    <cellStyle name="超連結 2 2 2 2 3" xfId="52" xr:uid="{C0E839E4-5F3E-4A16-BA8A-834848E51720}"/>
    <cellStyle name="超連結 2 2 2 2 3 2" xfId="260" xr:uid="{30C1965B-66A0-4B21-A034-80A60E6335F4}"/>
    <cellStyle name="超連結 2 2 2 2 4" xfId="94" xr:uid="{52E5D02C-4C99-4399-8BB8-04CB22498B62}"/>
    <cellStyle name="超連結 2 2 2 2 4 2" xfId="261" xr:uid="{D4A179A4-E5DB-4457-8332-859A96D7DD51}"/>
    <cellStyle name="超連結 2 2 2 2 5" xfId="262" xr:uid="{68B07F90-C57C-4A9C-B28F-2728B057304F}"/>
    <cellStyle name="超連結 2 2 2 2 6" xfId="263" xr:uid="{45938456-45D0-430A-AED6-57893506A51D}"/>
    <cellStyle name="超連結 2 2 2 3" xfId="17" xr:uid="{00000000-0005-0000-0000-000011000000}"/>
    <cellStyle name="超連結 2 2 2 3 2" xfId="53" xr:uid="{93315B0E-1157-450F-82F7-5BB0394F435F}"/>
    <cellStyle name="超連結 2 2 2 3 2 2" xfId="264" xr:uid="{AA20EDA0-ADCB-4700-AF49-EA9181960116}"/>
    <cellStyle name="超連結 2 2 2 3 2 3" xfId="265" xr:uid="{3A2A5B50-9E4D-4D88-8BB6-6B7383FA6C63}"/>
    <cellStyle name="超連結 2 2 2 3 3" xfId="95" xr:uid="{41917DD5-AA0F-4EDE-A08C-CAECB0D520F6}"/>
    <cellStyle name="超連結 2 2 2 3 3 2" xfId="266" xr:uid="{70884BB2-4CBC-4FFD-8C9A-4CF1B18C3BC0}"/>
    <cellStyle name="超連結 2 2 2 3 4" xfId="267" xr:uid="{C8CB3BDB-6E84-46CE-984C-8CA1A2F840BE}"/>
    <cellStyle name="超連結 2 2 2 3 5" xfId="268" xr:uid="{35AEF2DC-214C-4F22-9B8C-649E512A3EED}"/>
    <cellStyle name="超連結 2 2 2 4" xfId="54" xr:uid="{6E2CC104-7775-4801-9017-AAA84D9554E8}"/>
    <cellStyle name="超連結 2 2 2 4 2" xfId="55" xr:uid="{C68D487F-1C17-4A2F-AF1A-9452C8A6C1B5}"/>
    <cellStyle name="超連結 2 2 2 4 2 2" xfId="269" xr:uid="{18849F91-D857-4D7F-8A74-D78A715B6BC9}"/>
    <cellStyle name="超連結 2 2 2 4 2 3" xfId="270" xr:uid="{78A94A48-19FA-4FDA-A95E-9557807726FD}"/>
    <cellStyle name="超連結 2 2 2 4 3" xfId="271" xr:uid="{D443680E-B0F6-4D84-AE49-9A5FEDC321BB}"/>
    <cellStyle name="超連結 2 2 2 4 4" xfId="272" xr:uid="{61A13289-7A4C-4CF3-9351-3261BC9B750A}"/>
    <cellStyle name="超連結 2 2 2 4 5" xfId="273" xr:uid="{58D3AFEE-8A1B-4476-BB6C-AD8A7ABE2E13}"/>
    <cellStyle name="超連結 2 2 2 5" xfId="56" xr:uid="{12B274AA-7A24-4CD5-90EF-810FED7AB6C0}"/>
    <cellStyle name="超連結 2 2 2 5 2" xfId="274" xr:uid="{67251909-827D-47F8-A550-6BF0B24088B4}"/>
    <cellStyle name="超連結 2 2 2 5 3" xfId="275" xr:uid="{C47D308A-007D-45F7-AF27-A653DDDA86AA}"/>
    <cellStyle name="超連結 2 2 2 5 4" xfId="276" xr:uid="{347C711F-9707-4A25-9919-63F66C3AA32F}"/>
    <cellStyle name="超連結 2 2 2 5 5" xfId="277" xr:uid="{CB8652F5-E352-4298-8B98-F8A56C15A14B}"/>
    <cellStyle name="超連結 2 2 2 6" xfId="96" xr:uid="{84B2AD2B-0783-479D-A730-B7AA8271B14A}"/>
    <cellStyle name="超連結 2 2 2 6 2" xfId="278" xr:uid="{057CAE94-2AC3-4126-95D7-43F7A07C2EE7}"/>
    <cellStyle name="超連結 2 2 2 7" xfId="279" xr:uid="{D399C187-3513-465D-9CFD-29037B9AC8DE}"/>
    <cellStyle name="超連結 2 2 2 8" xfId="280" xr:uid="{427926E8-D458-4802-A898-3D3FB9C8FECA}"/>
    <cellStyle name="超連結 2 2 2 9" xfId="281" xr:uid="{EB3FF67A-A010-47D0-9658-636220CE2A03}"/>
    <cellStyle name="超連結 2 2 3" xfId="18" xr:uid="{00000000-0005-0000-0000-000012000000}"/>
    <cellStyle name="超連結 2 2 3 2" xfId="19" xr:uid="{00000000-0005-0000-0000-000013000000}"/>
    <cellStyle name="超連結 2 2 3 2 2" xfId="59" xr:uid="{CB97966F-AEF0-4DDF-B332-620D2844183D}"/>
    <cellStyle name="超連結 2 2 3 2 2 2" xfId="282" xr:uid="{83A9DC0D-43C8-43A5-A08E-685005C52659}"/>
    <cellStyle name="超連結 2 2 3 2 2 3" xfId="283" xr:uid="{57802192-9DF2-4F59-805D-E23F3F96EF50}"/>
    <cellStyle name="超連結 2 2 3 2 3" xfId="97" xr:uid="{89372597-7EA6-4054-9631-F728C985B311}"/>
    <cellStyle name="超連結 2 2 3 2 3 2" xfId="284" xr:uid="{4CC3F7D6-D154-456D-87B5-B584FE408B3D}"/>
    <cellStyle name="超連結 2 2 3 2 4" xfId="285" xr:uid="{FC2B3EA1-E43C-45BE-8988-A000A391E0CC}"/>
    <cellStyle name="超連結 2 2 3 2 5" xfId="286" xr:uid="{62012301-57BB-4623-B52A-E24D19A00CB4}"/>
    <cellStyle name="超連結 2 2 3 3" xfId="60" xr:uid="{C8E229F7-E923-4990-9408-3E7D84E62FF9}"/>
    <cellStyle name="超連結 2 2 3 3 2" xfId="287" xr:uid="{CE110002-0EE0-4AA4-86D9-6F1D9AC60109}"/>
    <cellStyle name="超連結 2 2 3 3 3" xfId="288" xr:uid="{09BD2956-82AA-4094-A6D1-2A27294F9554}"/>
    <cellStyle name="超連結 2 2 3 3 4" xfId="289" xr:uid="{154A6725-8AC1-46B4-9DAE-00F8EC54C4F7}"/>
    <cellStyle name="超連結 2 2 3 3 5" xfId="290" xr:uid="{9A24EEC4-C413-4BD3-BD4B-253B04B74CF4}"/>
    <cellStyle name="超連結 2 2 3 4" xfId="98" xr:uid="{DB22FB8C-7D24-4EA5-9416-499DE8BB182D}"/>
    <cellStyle name="超連結 2 2 3 4 2" xfId="291" xr:uid="{77527F60-739D-4221-9C32-4084DDF61798}"/>
    <cellStyle name="超連結 2 2 3 5" xfId="292" xr:uid="{4463A169-A45A-4F88-9DD4-6DC3A990B7FF}"/>
    <cellStyle name="超連結 2 2 3 6" xfId="293" xr:uid="{AA551A37-21EC-43E3-9798-97A6B32D748A}"/>
    <cellStyle name="超連結 2 2 3 7" xfId="294" xr:uid="{41F6328F-30BB-4ED4-BD60-B5B5C903E37B}"/>
    <cellStyle name="超連結 2 2 4" xfId="20" xr:uid="{00000000-0005-0000-0000-000014000000}"/>
    <cellStyle name="超連結 2 2 4 2" xfId="62" xr:uid="{749868CE-58F2-4214-AB17-4D1E128A2BFC}"/>
    <cellStyle name="超連結 2 2 4 2 2" xfId="295" xr:uid="{3EC5C346-CB31-4DAF-8D87-4E8B1C5462ED}"/>
    <cellStyle name="超連結 2 2 4 2 3" xfId="296" xr:uid="{54B881E2-03AB-4795-BAA1-7693C0E4FAA3}"/>
    <cellStyle name="超連結 2 2 4 2 4" xfId="297" xr:uid="{1C870917-964E-4D68-9E73-978BBEED6018}"/>
    <cellStyle name="超連結 2 2 4 2 5" xfId="298" xr:uid="{FCCF6566-D803-4A5A-A01F-55CAB9C548F5}"/>
    <cellStyle name="超連結 2 2 4 3" xfId="99" xr:uid="{DC3FF190-7201-4A0D-8E31-7B6587DEC71E}"/>
    <cellStyle name="超連結 2 2 4 3 2" xfId="299" xr:uid="{F29CF386-9E11-4339-B03D-0CDA84472426}"/>
    <cellStyle name="超連結 2 2 4 4" xfId="300" xr:uid="{BB227451-AF07-423E-BED3-1372EBEE8ACB}"/>
    <cellStyle name="超連結 2 2 4 5" xfId="301" xr:uid="{ED8CD6E7-633B-4159-A32C-BB5DE2E74993}"/>
    <cellStyle name="超連結 2 2 4 6" xfId="302" xr:uid="{233D5C2C-7F91-400D-8EEE-CDCA1C44063E}"/>
    <cellStyle name="超連結 2 2 5" xfId="63" xr:uid="{FF67FB00-BE1A-43B7-A9E9-8F46CD4557DE}"/>
    <cellStyle name="超連結 2 2 5 2" xfId="64" xr:uid="{E2FF4F9F-EDEC-4612-AF79-E8D7CB11DE1D}"/>
    <cellStyle name="超連結 2 2 5 2 2" xfId="303" xr:uid="{7A5FBF66-E3D7-46F7-B2E0-A160E23CF8F0}"/>
    <cellStyle name="超連結 2 2 5 2 3" xfId="304" xr:uid="{DF407C01-C433-4D21-ACD7-947EE9D23CC9}"/>
    <cellStyle name="超連結 2 2 5 3" xfId="305" xr:uid="{CC71076D-7BB2-4F2D-81FB-9FC2D12596B4}"/>
    <cellStyle name="超連結 2 2 5 4" xfId="306" xr:uid="{0A8471B1-5E1F-41D0-AD66-076A7665E19D}"/>
    <cellStyle name="超連結 2 2 5 5" xfId="307" xr:uid="{E057A0CF-88E2-491E-9105-098A6ED72025}"/>
    <cellStyle name="超連結 2 2 6" xfId="65" xr:uid="{54765B25-2F4B-487A-84A2-2E49A4739252}"/>
    <cellStyle name="超連結 2 2 6 2" xfId="308" xr:uid="{13FBEE6F-7105-43ED-BEBC-21CCE431393F}"/>
    <cellStyle name="超連結 2 2 6 3" xfId="309" xr:uid="{D950E4AC-8591-48FC-8DB9-6C398009186F}"/>
    <cellStyle name="超連結 2 2 6 4" xfId="310" xr:uid="{1D967D42-1A87-4B37-A697-CE89DFBB6884}"/>
    <cellStyle name="超連結 2 2 6 5" xfId="311" xr:uid="{D2C0BB4E-C46B-4986-B6E6-A10714FFE2A3}"/>
    <cellStyle name="超連結 2 2 7" xfId="100" xr:uid="{F7938966-B77F-4FAA-9350-D99F9A298AEE}"/>
    <cellStyle name="超連結 2 2 7 2" xfId="312" xr:uid="{50BFA473-D430-4B27-84B0-950515DAD53E}"/>
    <cellStyle name="超連結 2 2 7 3" xfId="313" xr:uid="{57ECB513-DB01-4F6C-A7A6-48F87AD92323}"/>
    <cellStyle name="超連結 2 2 8" xfId="314" xr:uid="{F43FD9DE-605B-4781-B16C-FEC9C0B42EF8}"/>
    <cellStyle name="超連結 2 2 9" xfId="315" xr:uid="{B743A106-C9A4-4300-9266-D69117EEA080}"/>
    <cellStyle name="超連結 2 3" xfId="21" xr:uid="{00000000-0005-0000-0000-000015000000}"/>
    <cellStyle name="超連結 2 3 2" xfId="22" xr:uid="{00000000-0005-0000-0000-000016000000}"/>
    <cellStyle name="超連結 2 3 2 2" xfId="23" xr:uid="{00000000-0005-0000-0000-000017000000}"/>
    <cellStyle name="超連結 2 3 2 2 2" xfId="68" xr:uid="{A374FEDA-F24A-4A48-B2DA-410A352D29F9}"/>
    <cellStyle name="超連結 2 3 2 2 2 2" xfId="316" xr:uid="{C8B40464-4DC7-43D4-8852-E750EC6C3012}"/>
    <cellStyle name="超連結 2 3 2 2 2 3" xfId="317" xr:uid="{0C2956E0-5357-44B4-B262-9DDFF9B05A7F}"/>
    <cellStyle name="超連結 2 3 2 2 3" xfId="101" xr:uid="{EC970EB1-C1E3-42CA-B90D-EC2911FEF412}"/>
    <cellStyle name="超連結 2 3 2 2 3 2" xfId="318" xr:uid="{0BC4242C-C708-4E40-9A49-74045669D6CB}"/>
    <cellStyle name="超連結 2 3 2 2 4" xfId="319" xr:uid="{7CBBE092-2331-4D02-9086-C91013BFE1EE}"/>
    <cellStyle name="超連結 2 3 2 2 5" xfId="320" xr:uid="{9A859EC8-3C4D-49AE-97FC-2247CB6541DC}"/>
    <cellStyle name="超連結 2 3 2 3" xfId="69" xr:uid="{3C65B1A6-52FE-4BA8-9815-C2B2B8CF93FB}"/>
    <cellStyle name="超連結 2 3 2 3 2" xfId="321" xr:uid="{33A9D73B-527A-4CA5-8E77-D84E468D6D56}"/>
    <cellStyle name="超連結 2 3 2 3 3" xfId="322" xr:uid="{56329E38-2AE3-42DC-AFA9-AF560349801F}"/>
    <cellStyle name="超連結 2 3 2 3 4" xfId="323" xr:uid="{072F9939-3767-4F09-8286-766728AB665F}"/>
    <cellStyle name="超連結 2 3 2 3 5" xfId="324" xr:uid="{F55C993B-450E-451F-B812-995DEB618F50}"/>
    <cellStyle name="超連結 2 3 2 4" xfId="102" xr:uid="{8A50CE4F-87F8-4604-9B66-065449D483C5}"/>
    <cellStyle name="超連結 2 3 2 4 2" xfId="325" xr:uid="{44B61D5E-2FE5-4CBF-87C5-2595AF8FA6E6}"/>
    <cellStyle name="超連結 2 3 2 5" xfId="326" xr:uid="{8898239B-D125-4FAC-8713-9F539250FDDD}"/>
    <cellStyle name="超連結 2 3 2 6" xfId="327" xr:uid="{93A39770-9A52-4352-A2AB-0E01275C6516}"/>
    <cellStyle name="超連結 2 3 2 7" xfId="328" xr:uid="{5488D0AF-9F57-4F81-BD2E-ECC0BF55F301}"/>
    <cellStyle name="超連結 2 3 3" xfId="24" xr:uid="{00000000-0005-0000-0000-000018000000}"/>
    <cellStyle name="超連結 2 3 3 2" xfId="70" xr:uid="{1D8325FD-D782-4F69-9B53-9FE96F8D44EF}"/>
    <cellStyle name="超連結 2 3 3 2 2" xfId="329" xr:uid="{7A851A9E-A07A-46B0-9E29-D7C1C86B97EA}"/>
    <cellStyle name="超連結 2 3 3 2 3" xfId="330" xr:uid="{7596813E-2C24-450E-AA70-109D7B6452E3}"/>
    <cellStyle name="超連結 2 3 3 3" xfId="103" xr:uid="{D3E97A46-213E-4759-BE97-7E62EF02AFB8}"/>
    <cellStyle name="超連結 2 3 3 3 2" xfId="331" xr:uid="{757C2721-CA6B-4926-A67A-E18F466F800B}"/>
    <cellStyle name="超連結 2 3 3 4" xfId="332" xr:uid="{EE90CB96-A4C8-40D6-BC5E-9797F596C914}"/>
    <cellStyle name="超連結 2 3 3 5" xfId="333" xr:uid="{AFE17321-52EA-4FFB-8AA3-F427C8DA2609}"/>
    <cellStyle name="超連結 2 3 4" xfId="71" xr:uid="{F9C62533-FB15-4E91-BE27-F85025694833}"/>
    <cellStyle name="超連結 2 3 4 2" xfId="72" xr:uid="{08C603FD-8734-478E-9EDA-87531AFA36A6}"/>
    <cellStyle name="超連結 2 3 4 2 2" xfId="334" xr:uid="{40CF57B0-0679-45E8-9669-13E5F593D4D7}"/>
    <cellStyle name="超連結 2 3 4 2 3" xfId="335" xr:uid="{97A588F1-A96F-48DD-A1C1-B7BAE676F7B3}"/>
    <cellStyle name="超連結 2 3 4 3" xfId="336" xr:uid="{F0DD6BEC-DA7D-4CDA-9AEA-90A6F20C81AF}"/>
    <cellStyle name="超連結 2 3 4 4" xfId="337" xr:uid="{24F94EA3-1C8D-4840-8795-7078BD2A8650}"/>
    <cellStyle name="超連結 2 3 4 5" xfId="338" xr:uid="{C75C9D89-6D3B-44B0-822A-CE63A4D768FB}"/>
    <cellStyle name="超連結 2 3 5" xfId="73" xr:uid="{74280A09-A460-48E4-AC5E-D51FBDC732DD}"/>
    <cellStyle name="超連結 2 3 5 2" xfId="339" xr:uid="{1A97BC5F-68FC-4A2D-9706-32AEFFB2A0D8}"/>
    <cellStyle name="超連結 2 3 5 3" xfId="340" xr:uid="{DC09FD7F-1489-43E5-BA1C-E03A57D78132}"/>
    <cellStyle name="超連結 2 3 5 4" xfId="341" xr:uid="{88518ECA-660D-4732-83C4-EF22EEBD32F1}"/>
    <cellStyle name="超連結 2 3 5 5" xfId="342" xr:uid="{F7B1D87E-93B5-45DD-B3DA-D3E1F7236E9A}"/>
    <cellStyle name="超連結 2 3 6" xfId="104" xr:uid="{D6D47EDE-35E5-43F1-8FEC-D1E537FA83CB}"/>
    <cellStyle name="超連結 2 3 6 2" xfId="343" xr:uid="{A9FE3ACC-C7C1-4112-8C73-6BC2BBA5C689}"/>
    <cellStyle name="超連結 2 3 6 3" xfId="344" xr:uid="{41DC52B2-B61A-4B42-8634-E14D60AD63C3}"/>
    <cellStyle name="超連結 2 3 7" xfId="345" xr:uid="{FB9137A7-270F-4FA0-B415-77AAD79680A9}"/>
    <cellStyle name="超連結 2 3 8" xfId="346" xr:uid="{A3215ACD-F55B-463B-8FEB-E3EA5EE8349F}"/>
    <cellStyle name="超連結 2 4" xfId="25" xr:uid="{00000000-0005-0000-0000-000019000000}"/>
    <cellStyle name="超連結 2 4 2" xfId="26" xr:uid="{00000000-0005-0000-0000-00001A000000}"/>
    <cellStyle name="超連結 2 4 2 2" xfId="74" xr:uid="{7F13C5FF-4D4B-4B98-A78B-A41474592919}"/>
    <cellStyle name="超連結 2 4 2 2 2" xfId="347" xr:uid="{1C1B13DA-0D2D-4EE8-B281-0B0C911959DF}"/>
    <cellStyle name="超連結 2 4 2 2 3" xfId="348" xr:uid="{FB48BC08-AD3D-4F7A-BD43-DD8580F3E86B}"/>
    <cellStyle name="超連結 2 4 2 3" xfId="105" xr:uid="{F30D5B0E-6136-40C5-9962-0399D86EE494}"/>
    <cellStyle name="超連結 2 4 2 3 2" xfId="349" xr:uid="{39B9C443-9136-4D4B-B42E-BBA35D2C2312}"/>
    <cellStyle name="超連結 2 4 2 4" xfId="350" xr:uid="{28321B82-0683-42C7-9AFE-443F2E0A619F}"/>
    <cellStyle name="超連結 2 4 2 5" xfId="351" xr:uid="{A6ECF7F6-6064-4AC8-9983-3EFB364B94C4}"/>
    <cellStyle name="超連結 2 4 3" xfId="75" xr:uid="{71ECE276-C479-42E4-99E6-75F4ACCACD5B}"/>
    <cellStyle name="超連結 2 4 3 2" xfId="352" xr:uid="{3AB2B608-DDB4-456E-8AEF-DA32D6C9DCE0}"/>
    <cellStyle name="超連結 2 4 3 3" xfId="353" xr:uid="{13D4DCE3-132D-4DD9-AF48-2327F489457C}"/>
    <cellStyle name="超連結 2 4 3 4" xfId="354" xr:uid="{EE2451E1-7780-4808-A54A-EC139FC1E3D2}"/>
    <cellStyle name="超連結 2 4 3 5" xfId="355" xr:uid="{FAFE02C3-89A0-4DFA-99B1-160A212EEA4D}"/>
    <cellStyle name="超連結 2 4 4" xfId="106" xr:uid="{02752F5C-C2CF-4046-9654-6CF085DB7C03}"/>
    <cellStyle name="超連結 2 4 4 2" xfId="356" xr:uid="{97E08312-65E9-4ED6-A260-1A0333B1ABB6}"/>
    <cellStyle name="超連結 2 4 4 3" xfId="357" xr:uid="{4094A38C-1318-4A56-80EE-231759D033C9}"/>
    <cellStyle name="超連結 2 4 4 4" xfId="358" xr:uid="{C73C518F-B168-4C8F-A076-94205EF68248}"/>
    <cellStyle name="超連結 2 4 5" xfId="359" xr:uid="{E480DDDB-97E0-4164-921A-BE92990B8C2B}"/>
    <cellStyle name="超連結 2 4 5 2" xfId="360" xr:uid="{4E6A790D-74BE-4132-A746-66338567AD4F}"/>
    <cellStyle name="超連結 2 4 5 3" xfId="361" xr:uid="{517315DF-6B98-4857-8B82-9454D5E3CEDC}"/>
    <cellStyle name="超連結 2 4 6" xfId="362" xr:uid="{7E4E6BD6-2AE9-43F8-8C3C-EF6C0AAB11C6}"/>
    <cellStyle name="超連結 2 4 7" xfId="363" xr:uid="{7DE9C6D6-091A-4DB7-9BBA-F398EAB5A791}"/>
    <cellStyle name="超連結 2 5" xfId="27" xr:uid="{00000000-0005-0000-0000-00001B000000}"/>
    <cellStyle name="超連結 2 5 2" xfId="76" xr:uid="{5C5D647D-7E02-4AA0-80D4-DFEE6AAE1AE6}"/>
    <cellStyle name="超連結 2 5 2 2" xfId="364" xr:uid="{E0873251-B624-465F-8208-48F2FA186282}"/>
    <cellStyle name="超連結 2 5 2 3" xfId="365" xr:uid="{3593121C-9C74-4301-AD73-EC218711EBB0}"/>
    <cellStyle name="超連結 2 5 2 4" xfId="366" xr:uid="{37D86CE1-AF71-4330-ACAC-5F8EA7873A01}"/>
    <cellStyle name="超連結 2 5 2 5" xfId="367" xr:uid="{A664A061-F922-4C1F-A2DF-4ADAB8C7512F}"/>
    <cellStyle name="超連結 2 5 3" xfId="107" xr:uid="{2AF4F40F-D3CC-459B-943F-ED9C095BDF70}"/>
    <cellStyle name="超連結 2 5 3 2" xfId="368" xr:uid="{856A7E71-2324-4530-90D4-01202ADAEFB2}"/>
    <cellStyle name="超連結 2 5 4" xfId="369" xr:uid="{E36CB336-667C-4C7F-9058-997658B5B770}"/>
    <cellStyle name="超連結 2 5 5" xfId="370" xr:uid="{B9374C3D-BAFE-4A2F-86E8-C7CECB71DADE}"/>
    <cellStyle name="超連結 2 5 6" xfId="371" xr:uid="{3F41283D-927D-470C-AB25-F78C0F269865}"/>
    <cellStyle name="超連結 2 6" xfId="77" xr:uid="{49A2DC0B-6CB1-4A72-815F-7E0F1764D247}"/>
    <cellStyle name="超連結 2 6 2" xfId="78" xr:uid="{809407E3-3FCA-4FE8-A74B-A4B3B67C7409}"/>
    <cellStyle name="超連結 2 6 2 2" xfId="372" xr:uid="{06EC3F9F-2386-420D-A65A-381127EFA068}"/>
    <cellStyle name="超連結 2 6 2 3" xfId="373" xr:uid="{5D32A9E5-5DA8-4869-9FD3-190EB6E2D621}"/>
    <cellStyle name="超連結 2 6 2 4" xfId="374" xr:uid="{1F0787F1-7288-4435-A21C-C2BA45A31A2D}"/>
    <cellStyle name="超連結 2 6 2 5" xfId="375" xr:uid="{EEF8933F-FF66-4FB2-B5AF-EC1924D88B97}"/>
    <cellStyle name="超連結 2 6 3" xfId="108" xr:uid="{55AF5A86-9112-4E39-BD6F-777B9DAF3BEA}"/>
    <cellStyle name="超連結 2 6 3 2" xfId="376" xr:uid="{91DFDA48-FFB8-4F53-B626-32F7B367C183}"/>
    <cellStyle name="超連結 2 6 4" xfId="377" xr:uid="{40DF3E49-AECC-4D12-B8CE-C140D9FF54C4}"/>
    <cellStyle name="超連結 2 6 5" xfId="378" xr:uid="{A02EABF2-4CA1-444A-B32B-02D05B49B943}"/>
    <cellStyle name="超連結 2 6 6" xfId="379" xr:uid="{DCE87673-0BC5-4553-864C-05473B6D2FD7}"/>
    <cellStyle name="超連結 2 7" xfId="79" xr:uid="{3F4C476F-2F40-40F8-9F65-1AFD5B617DFB}"/>
    <cellStyle name="超連結 2 7 2" xfId="109" xr:uid="{CA358887-EC10-41E4-9789-3E6C6C83406E}"/>
    <cellStyle name="超連結 2 7 2 2" xfId="380" xr:uid="{8168A41D-F82C-481D-BD47-51AA4FFD8E54}"/>
    <cellStyle name="超連結 2 7 3" xfId="381" xr:uid="{1D346712-C32B-414F-90BA-30334B83DF95}"/>
    <cellStyle name="超連結 2 7 4" xfId="382" xr:uid="{9C22763A-50CC-461C-A2DE-49C0955580B8}"/>
    <cellStyle name="超連結 2 7 5" xfId="383" xr:uid="{7F2569AF-7238-41D0-A4FC-1F4B8068AEF0}"/>
    <cellStyle name="超連結 2 8" xfId="110" xr:uid="{9EA37F73-64D8-4A71-95B4-DB27F368F469}"/>
    <cellStyle name="超連結 2 8 2" xfId="384" xr:uid="{7728073F-B2B0-46A2-BE68-E41EB2B61230}"/>
    <cellStyle name="超連結 2 8 3" xfId="385" xr:uid="{5AA43763-7D99-428A-B6B2-67303C4744C2}"/>
    <cellStyle name="超連結 2 8 4" xfId="386" xr:uid="{E76E0916-7F2B-472E-AF40-27B4D371D98D}"/>
    <cellStyle name="超連結 2 9" xfId="111" xr:uid="{A31D4512-AF6B-4E7F-BB37-B351DC458A90}"/>
    <cellStyle name="超連結 2 9 2" xfId="387" xr:uid="{DBDDFC76-02EF-4B29-A390-1F17C44D534A}"/>
    <cellStyle name="超連結 2 9 3" xfId="388" xr:uid="{21ADA284-6C72-4214-BE9E-7563F761C252}"/>
    <cellStyle name="超連結 2 9 4" xfId="389" xr:uid="{D7CB7D60-4E80-4D10-BFA2-5C60EA9E2FFF}"/>
    <cellStyle name="超連結 3" xfId="28" xr:uid="{00000000-0005-0000-0000-00001C000000}"/>
    <cellStyle name="超連結 3 2" xfId="80" xr:uid="{92D73612-8CAA-47A3-B91A-A3EE90705C99}"/>
    <cellStyle name="超連結 3 2 2" xfId="112" xr:uid="{D4177929-8F39-4029-A779-7CB827881080}"/>
    <cellStyle name="超連結 3 2 2 2" xfId="390" xr:uid="{5C6CE514-9D61-4A01-8EC0-9A732CC8C52D}"/>
    <cellStyle name="超連結 3 2 3" xfId="391" xr:uid="{2E7D40A1-5407-472E-8747-EECC0B3FC64E}"/>
    <cellStyle name="超連結 3 2 4" xfId="392" xr:uid="{D996C8A7-CAE4-47CA-91F3-B35421B95F02}"/>
    <cellStyle name="超連結 3 2 5" xfId="393" xr:uid="{27A2CD35-40B4-4CC1-9DE8-2745A2155410}"/>
    <cellStyle name="超連結 3 3" xfId="113" xr:uid="{2EE3C5BE-7702-4429-9C8B-F35D515BA0DD}"/>
    <cellStyle name="超連結 3 3 2" xfId="394" xr:uid="{0A7559E7-87E8-455E-B414-8615C73904EE}"/>
    <cellStyle name="超連結 3 3 3" xfId="395" xr:uid="{0A8FC9F9-D31B-4286-83FF-613E294ABC0C}"/>
    <cellStyle name="超連結 3 4" xfId="114" xr:uid="{DFE14288-1882-4DDF-9EA9-787074636C42}"/>
    <cellStyle name="超連結 3 4 2" xfId="396" xr:uid="{EBA86976-B6DD-4E27-8FCE-219879D2F4BE}"/>
    <cellStyle name="超連結 3 5" xfId="397" xr:uid="{B15D7CFA-D906-4EE0-B087-973781FFC55D}"/>
  </cellStyles>
  <dxfs count="0"/>
  <tableStyles count="1" defaultTableStyle="TableStyleMedium2" defaultPivotStyle="PivotStyleLight16">
    <tableStyle name="Invisible" pivot="0" table="0" count="0" xr9:uid="{D3373449-2D98-4E8A-B614-6B73B41820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0</xdr:row>
      <xdr:rowOff>190500</xdr:rowOff>
    </xdr:from>
    <xdr:to>
      <xdr:col>5</xdr:col>
      <xdr:colOff>495300</xdr:colOff>
      <xdr:row>1</xdr:row>
      <xdr:rowOff>409575</xdr:rowOff>
    </xdr:to>
    <xdr:pic>
      <xdr:nvPicPr>
        <xdr:cNvPr id="12890" name="圖片 1">
          <a:extLst>
            <a:ext uri="{FF2B5EF4-FFF2-40B4-BE49-F238E27FC236}">
              <a16:creationId xmlns:a16="http://schemas.microsoft.com/office/drawing/2014/main" id="{DFD16A64-6257-4A39-954F-04710373C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14525" y="190500"/>
          <a:ext cx="190500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171450</xdr:colOff>
      <xdr:row>0</xdr:row>
      <xdr:rowOff>28575</xdr:rowOff>
    </xdr:from>
    <xdr:to>
      <xdr:col>3</xdr:col>
      <xdr:colOff>0</xdr:colOff>
      <xdr:row>1</xdr:row>
      <xdr:rowOff>0</xdr:rowOff>
    </xdr:to>
    <xdr:pic>
      <xdr:nvPicPr>
        <xdr:cNvPr id="13557" name="圖片 1">
          <a:extLst>
            <a:ext uri="{FF2B5EF4-FFF2-40B4-BE49-F238E27FC236}">
              <a16:creationId xmlns:a16="http://schemas.microsoft.com/office/drawing/2014/main" id="{F8C592AD-619D-4E8F-BAC8-1894F8B3D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 y="28575"/>
          <a:ext cx="13239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1</xdr:row>
      <xdr:rowOff>38100</xdr:rowOff>
    </xdr:from>
    <xdr:to>
      <xdr:col>2</xdr:col>
      <xdr:colOff>371475</xdr:colOff>
      <xdr:row>2</xdr:row>
      <xdr:rowOff>57150</xdr:rowOff>
    </xdr:to>
    <xdr:pic>
      <xdr:nvPicPr>
        <xdr:cNvPr id="14444" name="圖片 1">
          <a:extLst>
            <a:ext uri="{FF2B5EF4-FFF2-40B4-BE49-F238E27FC236}">
              <a16:creationId xmlns:a16="http://schemas.microsoft.com/office/drawing/2014/main" id="{8C294723-431F-4CCB-BFD0-A1FE6435B3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247650"/>
          <a:ext cx="191452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7" tint="-0.249977111117893"/>
  </sheetPr>
  <dimension ref="A2:L62"/>
  <sheetViews>
    <sheetView showWhiteSpace="0" view="pageBreakPreview" zoomScaleNormal="100" zoomScaleSheetLayoutView="100" workbookViewId="0">
      <selection activeCell="C14" sqref="C14:E14"/>
    </sheetView>
  </sheetViews>
  <sheetFormatPr defaultRowHeight="16.5"/>
  <cols>
    <col min="1" max="1" width="11.625" style="20" customWidth="1"/>
    <col min="2" max="4" width="8" style="20" customWidth="1"/>
    <col min="5" max="7" width="8" style="10" customWidth="1"/>
    <col min="8" max="8" width="8.875" style="27" customWidth="1"/>
    <col min="9" max="9" width="8" style="20" customWidth="1"/>
    <col min="10" max="10" width="6" style="20" customWidth="1"/>
    <col min="11" max="11" width="8.375" style="20" customWidth="1"/>
    <col min="12" max="12" width="6.375" style="20" customWidth="1"/>
    <col min="13" max="16384" width="9" style="20"/>
  </cols>
  <sheetData>
    <row r="2" spans="1:12" ht="38.1" customHeight="1">
      <c r="A2" s="100" t="s">
        <v>0</v>
      </c>
      <c r="B2" s="100"/>
      <c r="C2" s="100"/>
      <c r="D2" s="100"/>
      <c r="E2" s="100"/>
      <c r="F2" s="100"/>
      <c r="G2" s="100"/>
      <c r="H2" s="16" t="s">
        <v>39</v>
      </c>
      <c r="I2" s="570" t="str">
        <f>LIST!F1</f>
        <v>景碩科技 清華廠</v>
      </c>
      <c r="J2" s="571"/>
      <c r="K2" s="100"/>
      <c r="L2" s="33"/>
    </row>
    <row r="3" spans="1:12" ht="30" customHeight="1">
      <c r="A3" s="21" t="s">
        <v>7</v>
      </c>
      <c r="B3" s="577" t="str">
        <f>LIST!E1</f>
        <v>WD-2601007</v>
      </c>
      <c r="C3" s="578"/>
      <c r="D3" s="7" t="s">
        <v>1</v>
      </c>
      <c r="E3" s="575" t="str">
        <f>LIST!B1</f>
        <v>1/3</v>
      </c>
      <c r="F3" s="575"/>
      <c r="G3" s="7" t="s">
        <v>2</v>
      </c>
      <c r="H3" s="101" t="str">
        <f>LIST!C1</f>
        <v>1/11</v>
      </c>
      <c r="I3" s="590" t="s">
        <v>3</v>
      </c>
      <c r="J3" s="590"/>
      <c r="K3" s="575" t="str">
        <f>LIST!D1</f>
        <v>1/12</v>
      </c>
      <c r="L3" s="575"/>
    </row>
    <row r="4" spans="1:12" ht="34.5" customHeight="1">
      <c r="A4" s="21" t="s">
        <v>6</v>
      </c>
      <c r="B4" s="639" t="str">
        <f>LIST!G1</f>
        <v>Q59-859-1(2+4W)</v>
      </c>
      <c r="C4" s="639"/>
      <c r="D4" s="639"/>
      <c r="E4" s="639"/>
      <c r="F4" s="639"/>
      <c r="G4" s="9" t="s">
        <v>27</v>
      </c>
      <c r="H4" s="102" t="str">
        <f>LIST!H1</f>
        <v>Gats-77XX</v>
      </c>
      <c r="I4" s="607" t="s">
        <v>4</v>
      </c>
      <c r="J4" s="607"/>
      <c r="K4" s="576" t="s">
        <v>152</v>
      </c>
      <c r="L4" s="576"/>
    </row>
    <row r="5" spans="1:12" s="23" customFormat="1" ht="60" customHeight="1">
      <c r="A5" s="35" t="s">
        <v>5</v>
      </c>
      <c r="B5" s="633" t="s">
        <v>247</v>
      </c>
      <c r="C5" s="634"/>
      <c r="D5" s="634"/>
      <c r="E5" s="634"/>
      <c r="F5" s="634"/>
      <c r="G5" s="634"/>
      <c r="H5" s="634"/>
      <c r="I5" s="634"/>
      <c r="J5" s="634"/>
      <c r="K5" s="634"/>
      <c r="L5" s="635"/>
    </row>
    <row r="6" spans="1:12" ht="17.25" customHeight="1">
      <c r="A6" s="29" t="s">
        <v>28</v>
      </c>
      <c r="B6" s="29" t="s">
        <v>36</v>
      </c>
      <c r="C6" s="29"/>
      <c r="D6" s="30"/>
      <c r="E6" s="31">
        <v>1074</v>
      </c>
      <c r="F6" s="31"/>
      <c r="G6" s="31"/>
      <c r="H6" s="31"/>
      <c r="I6" s="31"/>
      <c r="J6" s="31"/>
      <c r="K6" s="31"/>
      <c r="L6" s="31"/>
    </row>
    <row r="7" spans="1:12" ht="26.1" customHeight="1">
      <c r="A7" s="586" t="s">
        <v>29</v>
      </c>
      <c r="B7" s="587" t="s">
        <v>38</v>
      </c>
      <c r="C7" s="587"/>
      <c r="D7" s="587"/>
      <c r="E7" s="587" t="s">
        <v>20</v>
      </c>
      <c r="F7" s="587"/>
      <c r="G7" s="587"/>
      <c r="H7" s="579" t="s">
        <v>30</v>
      </c>
      <c r="I7" s="636" t="s">
        <v>19</v>
      </c>
      <c r="J7" s="637"/>
      <c r="K7" s="611" t="s">
        <v>20</v>
      </c>
      <c r="L7" s="612"/>
    </row>
    <row r="8" spans="1:12" ht="26.1" customHeight="1">
      <c r="A8" s="586"/>
      <c r="B8" s="259" t="s">
        <v>310</v>
      </c>
      <c r="C8" s="288">
        <v>2526</v>
      </c>
      <c r="D8" s="5" t="s">
        <v>40</v>
      </c>
      <c r="E8" s="103" t="s">
        <v>161</v>
      </c>
      <c r="F8" s="104">
        <v>706</v>
      </c>
      <c r="G8" s="5" t="s">
        <v>40</v>
      </c>
      <c r="H8" s="580"/>
      <c r="I8" s="257" t="s">
        <v>237</v>
      </c>
      <c r="J8" s="276" t="s">
        <v>248</v>
      </c>
      <c r="K8" s="36" t="s">
        <v>41</v>
      </c>
      <c r="L8" s="138" t="s">
        <v>249</v>
      </c>
    </row>
    <row r="9" spans="1:12" ht="26.1" customHeight="1">
      <c r="A9" s="586"/>
      <c r="B9" s="224" t="s">
        <v>311</v>
      </c>
      <c r="C9" s="104"/>
      <c r="D9" s="5"/>
      <c r="E9" s="131"/>
      <c r="F9" s="132"/>
      <c r="G9" s="5"/>
      <c r="H9" s="580"/>
      <c r="I9" s="294" t="s">
        <v>262</v>
      </c>
      <c r="J9" s="239" t="s">
        <v>56</v>
      </c>
      <c r="K9" s="533" t="s">
        <v>306</v>
      </c>
      <c r="L9" s="130" t="s">
        <v>56</v>
      </c>
    </row>
    <row r="10" spans="1:12" ht="26.1" customHeight="1">
      <c r="A10" s="586"/>
      <c r="B10" s="226"/>
      <c r="C10" s="132"/>
      <c r="D10" s="5"/>
      <c r="E10" s="131"/>
      <c r="F10" s="132"/>
      <c r="G10" s="5"/>
      <c r="H10" s="580"/>
      <c r="I10" s="533" t="s">
        <v>306</v>
      </c>
      <c r="J10" s="540" t="s">
        <v>56</v>
      </c>
      <c r="K10" s="225"/>
      <c r="L10" s="239"/>
    </row>
    <row r="11" spans="1:12" ht="26.1" customHeight="1">
      <c r="A11" s="586"/>
      <c r="B11" s="224"/>
      <c r="C11" s="238"/>
      <c r="D11" s="5"/>
      <c r="E11" s="131"/>
      <c r="F11" s="132"/>
      <c r="G11" s="5"/>
      <c r="H11" s="581"/>
      <c r="I11" s="129"/>
      <c r="J11" s="130"/>
      <c r="K11" s="129"/>
      <c r="L11" s="130"/>
    </row>
    <row r="12" spans="1:12" ht="26.1" customHeight="1">
      <c r="A12" s="22" t="s">
        <v>5</v>
      </c>
      <c r="B12" s="11"/>
      <c r="C12" s="12"/>
      <c r="D12" s="12"/>
      <c r="E12" s="12"/>
      <c r="F12" s="12"/>
      <c r="G12" s="12"/>
      <c r="H12" s="19" t="s">
        <v>22</v>
      </c>
      <c r="I12" s="611" t="s">
        <v>37</v>
      </c>
      <c r="J12" s="638"/>
      <c r="K12" s="638"/>
      <c r="L12" s="612"/>
    </row>
    <row r="13" spans="1:12" ht="26.1" customHeight="1">
      <c r="A13" s="8" t="s">
        <v>8</v>
      </c>
      <c r="B13" s="24"/>
      <c r="C13" s="24"/>
      <c r="D13" s="24"/>
      <c r="E13" s="25"/>
      <c r="F13" s="25"/>
      <c r="G13" s="25"/>
      <c r="H13" s="26"/>
    </row>
    <row r="14" spans="1:12" ht="20.100000000000001" customHeight="1">
      <c r="A14" s="602" t="s">
        <v>9</v>
      </c>
      <c r="B14" s="37" t="s">
        <v>42</v>
      </c>
      <c r="C14" s="582" t="s">
        <v>334</v>
      </c>
      <c r="D14" s="582"/>
      <c r="E14" s="582"/>
      <c r="F14" s="591"/>
      <c r="G14" s="592"/>
      <c r="H14" s="592"/>
      <c r="I14" s="592"/>
      <c r="J14" s="592"/>
      <c r="K14" s="592"/>
      <c r="L14" s="593"/>
    </row>
    <row r="15" spans="1:12" ht="20.100000000000001" customHeight="1">
      <c r="A15" s="603"/>
      <c r="B15" s="37" t="s">
        <v>43</v>
      </c>
      <c r="C15" s="582" t="s">
        <v>335</v>
      </c>
      <c r="D15" s="582"/>
      <c r="E15" s="582"/>
      <c r="F15" s="594"/>
      <c r="G15" s="595"/>
      <c r="H15" s="595"/>
      <c r="I15" s="595"/>
      <c r="J15" s="595"/>
      <c r="K15" s="595"/>
      <c r="L15" s="596"/>
    </row>
    <row r="16" spans="1:12" ht="26.1" customHeight="1">
      <c r="A16" s="579" t="s">
        <v>10</v>
      </c>
      <c r="B16" s="5" t="s">
        <v>18</v>
      </c>
      <c r="C16" s="611" t="s">
        <v>19</v>
      </c>
      <c r="D16" s="612"/>
      <c r="E16" s="587" t="s">
        <v>20</v>
      </c>
      <c r="F16" s="587"/>
      <c r="G16" s="631" t="s">
        <v>12</v>
      </c>
      <c r="H16" s="32" t="s">
        <v>18</v>
      </c>
      <c r="I16" s="587" t="s">
        <v>19</v>
      </c>
      <c r="J16" s="587"/>
      <c r="K16" s="587" t="s">
        <v>20</v>
      </c>
      <c r="L16" s="587"/>
    </row>
    <row r="17" spans="1:12" ht="26.1" customHeight="1">
      <c r="A17" s="600"/>
      <c r="B17" s="38" t="s">
        <v>25</v>
      </c>
      <c r="C17" s="588">
        <f ca="1">NOW()</f>
        <v>46027.722512962966</v>
      </c>
      <c r="D17" s="589"/>
      <c r="E17" s="588">
        <f ca="1">NOW()</f>
        <v>46027.722512962966</v>
      </c>
      <c r="F17" s="589"/>
      <c r="G17" s="632"/>
      <c r="H17" s="32" t="s">
        <v>25</v>
      </c>
      <c r="I17" s="618">
        <f ca="1">NOW()</f>
        <v>46027.722512962966</v>
      </c>
      <c r="J17" s="618"/>
      <c r="K17" s="618">
        <f ca="1">NOW()</f>
        <v>46027.722512962966</v>
      </c>
      <c r="L17" s="618"/>
    </row>
    <row r="18" spans="1:12" ht="26.1" customHeight="1">
      <c r="A18" s="600"/>
      <c r="B18" s="38" t="s">
        <v>26</v>
      </c>
      <c r="C18" s="613"/>
      <c r="D18" s="614"/>
      <c r="E18" s="586"/>
      <c r="F18" s="586"/>
      <c r="G18" s="632"/>
      <c r="H18" s="32" t="s">
        <v>26</v>
      </c>
      <c r="I18" s="587"/>
      <c r="J18" s="587"/>
      <c r="K18" s="587"/>
      <c r="L18" s="587"/>
    </row>
    <row r="19" spans="1:12" ht="26.1" customHeight="1">
      <c r="A19" s="601"/>
      <c r="B19" s="38" t="s">
        <v>44</v>
      </c>
      <c r="C19" s="613"/>
      <c r="D19" s="614"/>
      <c r="E19" s="586"/>
      <c r="F19" s="586"/>
      <c r="G19" s="609"/>
      <c r="H19" s="640" t="s">
        <v>11</v>
      </c>
      <c r="I19" s="587"/>
      <c r="J19" s="587"/>
      <c r="K19" s="587"/>
      <c r="L19" s="587"/>
    </row>
    <row r="20" spans="1:12" ht="26.1" customHeight="1">
      <c r="A20" s="22" t="s">
        <v>5</v>
      </c>
      <c r="B20" s="11"/>
      <c r="C20" s="12"/>
      <c r="D20" s="12"/>
      <c r="E20" s="12"/>
      <c r="F20" s="12"/>
      <c r="G20" s="12"/>
      <c r="H20" s="641"/>
      <c r="I20" s="587"/>
      <c r="J20" s="587"/>
      <c r="K20" s="587"/>
      <c r="L20" s="587"/>
    </row>
    <row r="21" spans="1:12" ht="26.1" customHeight="1">
      <c r="A21" s="6" t="s">
        <v>13</v>
      </c>
    </row>
    <row r="22" spans="1:12" ht="26.1" customHeight="1">
      <c r="A22" s="583" t="s">
        <v>14</v>
      </c>
      <c r="B22" s="625" t="s">
        <v>153</v>
      </c>
      <c r="C22" s="626"/>
      <c r="D22" s="626"/>
      <c r="E22" s="626"/>
      <c r="F22" s="626"/>
      <c r="G22" s="626"/>
      <c r="H22" s="626"/>
      <c r="I22" s="626"/>
      <c r="J22" s="626"/>
      <c r="K22" s="626"/>
      <c r="L22" s="627"/>
    </row>
    <row r="23" spans="1:12" ht="26.1" customHeight="1">
      <c r="A23" s="585"/>
      <c r="B23" s="628"/>
      <c r="C23" s="629"/>
      <c r="D23" s="629"/>
      <c r="E23" s="629"/>
      <c r="F23" s="629"/>
      <c r="G23" s="629"/>
      <c r="H23" s="629"/>
      <c r="I23" s="629"/>
      <c r="J23" s="629"/>
      <c r="K23" s="629"/>
      <c r="L23" s="630"/>
    </row>
    <row r="24" spans="1:12" ht="26.1" customHeight="1">
      <c r="A24" s="583" t="s">
        <v>16</v>
      </c>
      <c r="B24" s="39" t="s">
        <v>18</v>
      </c>
      <c r="C24" s="611" t="s">
        <v>19</v>
      </c>
      <c r="D24" s="612"/>
      <c r="E24" s="636" t="s">
        <v>20</v>
      </c>
      <c r="F24" s="642"/>
      <c r="G24" s="616" t="s">
        <v>15</v>
      </c>
      <c r="H24" s="49" t="s">
        <v>18</v>
      </c>
      <c r="I24" s="611" t="s">
        <v>19</v>
      </c>
      <c r="J24" s="612"/>
      <c r="K24" s="636" t="s">
        <v>20</v>
      </c>
      <c r="L24" s="642"/>
    </row>
    <row r="25" spans="1:12" ht="26.1" customHeight="1">
      <c r="A25" s="584"/>
      <c r="B25" s="38" t="s">
        <v>25</v>
      </c>
      <c r="C25" s="611"/>
      <c r="D25" s="612"/>
      <c r="E25" s="611"/>
      <c r="F25" s="612"/>
      <c r="G25" s="616"/>
      <c r="H25" s="32" t="s">
        <v>25</v>
      </c>
      <c r="I25" s="611"/>
      <c r="J25" s="612"/>
      <c r="K25" s="611"/>
      <c r="L25" s="612"/>
    </row>
    <row r="26" spans="1:12" ht="26.1" customHeight="1">
      <c r="A26" s="584"/>
      <c r="B26" s="38" t="s">
        <v>26</v>
      </c>
      <c r="C26" s="611"/>
      <c r="D26" s="612"/>
      <c r="E26" s="611"/>
      <c r="F26" s="612"/>
      <c r="G26" s="616"/>
      <c r="H26" s="32" t="s">
        <v>26</v>
      </c>
      <c r="I26" s="611"/>
      <c r="J26" s="612"/>
      <c r="K26" s="611"/>
      <c r="L26" s="612"/>
    </row>
    <row r="27" spans="1:12" ht="26.1" customHeight="1">
      <c r="A27" s="585"/>
      <c r="B27" s="38" t="s">
        <v>44</v>
      </c>
      <c r="C27" s="611"/>
      <c r="D27" s="612"/>
      <c r="E27" s="611"/>
      <c r="F27" s="612"/>
      <c r="G27" s="617"/>
      <c r="H27" s="32" t="s">
        <v>11</v>
      </c>
      <c r="I27" s="611"/>
      <c r="J27" s="612"/>
      <c r="K27" s="611"/>
      <c r="L27" s="612"/>
    </row>
    <row r="28" spans="1:12" ht="26.1" customHeight="1">
      <c r="A28" s="583" t="s">
        <v>17</v>
      </c>
      <c r="B28" s="38" t="s">
        <v>25</v>
      </c>
      <c r="C28" s="611"/>
      <c r="D28" s="612"/>
      <c r="E28" s="611"/>
      <c r="F28" s="612"/>
      <c r="G28" s="615" t="s">
        <v>46</v>
      </c>
      <c r="H28" s="32" t="s">
        <v>25</v>
      </c>
      <c r="I28" s="611"/>
      <c r="J28" s="612"/>
      <c r="K28" s="611"/>
      <c r="L28" s="612"/>
    </row>
    <row r="29" spans="1:12" ht="26.1" customHeight="1">
      <c r="A29" s="584"/>
      <c r="B29" s="38" t="s">
        <v>26</v>
      </c>
      <c r="C29" s="611"/>
      <c r="D29" s="612"/>
      <c r="E29" s="611"/>
      <c r="F29" s="612"/>
      <c r="G29" s="616"/>
      <c r="H29" s="32" t="s">
        <v>26</v>
      </c>
      <c r="I29" s="611"/>
      <c r="J29" s="612"/>
      <c r="K29" s="611"/>
      <c r="L29" s="612"/>
    </row>
    <row r="30" spans="1:12" ht="26.1" customHeight="1">
      <c r="A30" s="585"/>
      <c r="B30" s="38" t="s">
        <v>44</v>
      </c>
      <c r="C30" s="611"/>
      <c r="D30" s="612"/>
      <c r="E30" s="611"/>
      <c r="F30" s="612"/>
      <c r="G30" s="617"/>
      <c r="H30" s="32" t="s">
        <v>11</v>
      </c>
      <c r="I30" s="611"/>
      <c r="J30" s="612"/>
      <c r="K30" s="611"/>
      <c r="L30" s="612"/>
    </row>
    <row r="31" spans="1:12" ht="26.1" customHeight="1">
      <c r="A31" s="22" t="s">
        <v>5</v>
      </c>
      <c r="B31" s="28"/>
      <c r="C31" s="40"/>
      <c r="D31" s="40"/>
      <c r="E31" s="40"/>
      <c r="F31" s="40"/>
      <c r="G31" s="40"/>
      <c r="H31" s="40"/>
      <c r="I31" s="40"/>
      <c r="J31" s="40"/>
      <c r="K31" s="40"/>
      <c r="L31" s="40"/>
    </row>
    <row r="32" spans="1:12" ht="26.1" customHeight="1" thickBot="1">
      <c r="A32" s="6" t="s">
        <v>21</v>
      </c>
    </row>
    <row r="33" spans="1:12" ht="26.1" customHeight="1">
      <c r="A33" s="597" t="s">
        <v>35</v>
      </c>
      <c r="B33" s="42" t="s">
        <v>18</v>
      </c>
      <c r="C33" s="643" t="s">
        <v>19</v>
      </c>
      <c r="D33" s="644"/>
      <c r="E33" s="645" t="s">
        <v>20</v>
      </c>
      <c r="F33" s="646"/>
      <c r="G33" s="619" t="s">
        <v>45</v>
      </c>
      <c r="H33" s="42" t="s">
        <v>18</v>
      </c>
      <c r="I33" s="643" t="s">
        <v>19</v>
      </c>
      <c r="J33" s="644"/>
      <c r="K33" s="645" t="s">
        <v>20</v>
      </c>
      <c r="L33" s="652"/>
    </row>
    <row r="34" spans="1:12" ht="26.1" customHeight="1">
      <c r="A34" s="598"/>
      <c r="B34" s="32" t="s">
        <v>25</v>
      </c>
      <c r="C34" s="611"/>
      <c r="D34" s="612"/>
      <c r="E34" s="611"/>
      <c r="F34" s="612"/>
      <c r="G34" s="620"/>
      <c r="H34" s="32" t="s">
        <v>25</v>
      </c>
      <c r="I34" s="611"/>
      <c r="J34" s="612"/>
      <c r="K34" s="611"/>
      <c r="L34" s="648"/>
    </row>
    <row r="35" spans="1:12" ht="26.1" customHeight="1">
      <c r="A35" s="598"/>
      <c r="B35" s="32" t="s">
        <v>26</v>
      </c>
      <c r="C35" s="611"/>
      <c r="D35" s="612"/>
      <c r="E35" s="611"/>
      <c r="F35" s="612"/>
      <c r="G35" s="620"/>
      <c r="H35" s="32" t="s">
        <v>26</v>
      </c>
      <c r="I35" s="611"/>
      <c r="J35" s="612"/>
      <c r="K35" s="611"/>
      <c r="L35" s="648"/>
    </row>
    <row r="36" spans="1:12" ht="26.1" customHeight="1">
      <c r="A36" s="598"/>
      <c r="B36" s="32" t="s">
        <v>11</v>
      </c>
      <c r="C36" s="611"/>
      <c r="D36" s="612"/>
      <c r="E36" s="611"/>
      <c r="F36" s="612"/>
      <c r="G36" s="620"/>
      <c r="H36" s="32" t="s">
        <v>11</v>
      </c>
      <c r="I36" s="611"/>
      <c r="J36" s="612"/>
      <c r="K36" s="611"/>
      <c r="L36" s="648"/>
    </row>
    <row r="37" spans="1:12" ht="26.1" customHeight="1" thickBot="1">
      <c r="A37" s="599"/>
      <c r="B37" s="47"/>
      <c r="C37" s="649"/>
      <c r="D37" s="650"/>
      <c r="E37" s="649"/>
      <c r="F37" s="650"/>
      <c r="G37" s="47"/>
      <c r="H37" s="47"/>
      <c r="I37" s="649"/>
      <c r="J37" s="650"/>
      <c r="K37" s="649"/>
      <c r="L37" s="651"/>
    </row>
    <row r="38" spans="1:12" ht="26.1" customHeight="1">
      <c r="A38" s="604" t="s">
        <v>34</v>
      </c>
      <c r="B38" s="42" t="s">
        <v>25</v>
      </c>
      <c r="C38" s="643"/>
      <c r="D38" s="644"/>
      <c r="E38" s="643"/>
      <c r="F38" s="644"/>
      <c r="G38" s="572" t="s">
        <v>33</v>
      </c>
      <c r="H38" s="42" t="s">
        <v>25</v>
      </c>
      <c r="I38" s="643"/>
      <c r="J38" s="644"/>
      <c r="K38" s="643"/>
      <c r="L38" s="647"/>
    </row>
    <row r="39" spans="1:12" ht="26.1" customHeight="1">
      <c r="A39" s="605"/>
      <c r="B39" s="32" t="s">
        <v>26</v>
      </c>
      <c r="C39" s="611"/>
      <c r="D39" s="612"/>
      <c r="E39" s="611"/>
      <c r="F39" s="612"/>
      <c r="G39" s="573"/>
      <c r="H39" s="32" t="s">
        <v>26</v>
      </c>
      <c r="I39" s="611"/>
      <c r="J39" s="612"/>
      <c r="K39" s="611"/>
      <c r="L39" s="648"/>
    </row>
    <row r="40" spans="1:12" ht="26.1" customHeight="1">
      <c r="A40" s="605"/>
      <c r="B40" s="32" t="s">
        <v>11</v>
      </c>
      <c r="C40" s="14"/>
      <c r="D40" s="15"/>
      <c r="E40" s="14"/>
      <c r="F40" s="15"/>
      <c r="G40" s="573"/>
      <c r="H40" s="32" t="s">
        <v>11</v>
      </c>
      <c r="I40" s="14"/>
      <c r="J40" s="15"/>
      <c r="K40" s="14"/>
      <c r="L40" s="43"/>
    </row>
    <row r="41" spans="1:12" ht="26.1" customHeight="1" thickBot="1">
      <c r="A41" s="606"/>
      <c r="B41" s="47"/>
      <c r="C41" s="649"/>
      <c r="D41" s="650"/>
      <c r="E41" s="649"/>
      <c r="F41" s="650"/>
      <c r="G41" s="621"/>
      <c r="H41" s="47"/>
      <c r="I41" s="649"/>
      <c r="J41" s="650"/>
      <c r="K41" s="649"/>
      <c r="L41" s="651"/>
    </row>
    <row r="42" spans="1:12" ht="26.1" customHeight="1">
      <c r="A42" s="567" t="s">
        <v>32</v>
      </c>
      <c r="B42" s="42" t="s">
        <v>25</v>
      </c>
      <c r="C42" s="643"/>
      <c r="D42" s="644"/>
      <c r="E42" s="643"/>
      <c r="F42" s="644"/>
      <c r="G42" s="572" t="s">
        <v>23</v>
      </c>
      <c r="H42" s="42" t="s">
        <v>25</v>
      </c>
      <c r="I42" s="643"/>
      <c r="J42" s="644"/>
      <c r="K42" s="643"/>
      <c r="L42" s="647"/>
    </row>
    <row r="43" spans="1:12" ht="26.1" customHeight="1">
      <c r="A43" s="568"/>
      <c r="B43" s="32" t="s">
        <v>26</v>
      </c>
      <c r="C43" s="611"/>
      <c r="D43" s="612"/>
      <c r="E43" s="611"/>
      <c r="F43" s="612"/>
      <c r="G43" s="573"/>
      <c r="H43" s="32" t="s">
        <v>26</v>
      </c>
      <c r="I43" s="611"/>
      <c r="J43" s="612"/>
      <c r="K43" s="611"/>
      <c r="L43" s="648"/>
    </row>
    <row r="44" spans="1:12" ht="26.1" customHeight="1">
      <c r="A44" s="568"/>
      <c r="B44" s="32" t="s">
        <v>11</v>
      </c>
      <c r="C44" s="611"/>
      <c r="D44" s="612"/>
      <c r="E44" s="611"/>
      <c r="F44" s="612"/>
      <c r="G44" s="574"/>
      <c r="H44" s="32" t="s">
        <v>11</v>
      </c>
      <c r="I44" s="611"/>
      <c r="J44" s="612"/>
      <c r="K44" s="611"/>
      <c r="L44" s="648"/>
    </row>
    <row r="45" spans="1:12" ht="26.1" customHeight="1" thickBot="1">
      <c r="A45" s="569"/>
      <c r="B45" s="47"/>
      <c r="C45" s="649"/>
      <c r="D45" s="650"/>
      <c r="E45" s="649"/>
      <c r="F45" s="650"/>
      <c r="G45" s="50"/>
      <c r="H45" s="47"/>
      <c r="I45" s="649"/>
      <c r="J45" s="650"/>
      <c r="K45" s="649"/>
      <c r="L45" s="651"/>
    </row>
    <row r="46" spans="1:12" ht="26.1" customHeight="1">
      <c r="A46" s="567" t="s">
        <v>24</v>
      </c>
      <c r="B46" s="42" t="s">
        <v>25</v>
      </c>
      <c r="C46" s="643"/>
      <c r="D46" s="644"/>
      <c r="E46" s="643"/>
      <c r="F46" s="644"/>
      <c r="G46" s="622" t="s">
        <v>31</v>
      </c>
      <c r="H46" s="42" t="s">
        <v>25</v>
      </c>
      <c r="I46" s="643"/>
      <c r="J46" s="644"/>
      <c r="K46" s="643"/>
      <c r="L46" s="647"/>
    </row>
    <row r="47" spans="1:12" ht="26.1" customHeight="1">
      <c r="A47" s="568"/>
      <c r="B47" s="32" t="s">
        <v>26</v>
      </c>
      <c r="C47" s="611"/>
      <c r="D47" s="612"/>
      <c r="E47" s="611"/>
      <c r="F47" s="612"/>
      <c r="G47" s="623"/>
      <c r="H47" s="32" t="s">
        <v>26</v>
      </c>
      <c r="I47" s="611"/>
      <c r="J47" s="612"/>
      <c r="K47" s="611"/>
      <c r="L47" s="648"/>
    </row>
    <row r="48" spans="1:12" ht="26.1" customHeight="1">
      <c r="A48" s="568"/>
      <c r="B48" s="32" t="s">
        <v>11</v>
      </c>
      <c r="C48" s="611"/>
      <c r="D48" s="612"/>
      <c r="E48" s="611"/>
      <c r="F48" s="612"/>
      <c r="G48" s="624"/>
      <c r="H48" s="32" t="s">
        <v>11</v>
      </c>
      <c r="I48" s="611"/>
      <c r="J48" s="612"/>
      <c r="K48" s="611"/>
      <c r="L48" s="648"/>
    </row>
    <row r="49" spans="1:12" ht="26.1" customHeight="1" thickBot="1">
      <c r="A49" s="569"/>
      <c r="B49" s="44"/>
      <c r="C49" s="649"/>
      <c r="D49" s="650"/>
      <c r="E49" s="649"/>
      <c r="F49" s="650"/>
      <c r="G49" s="45"/>
      <c r="H49" s="46"/>
      <c r="I49" s="649"/>
      <c r="J49" s="650"/>
      <c r="K49" s="649"/>
      <c r="L49" s="651"/>
    </row>
    <row r="50" spans="1:12" ht="26.1" customHeight="1">
      <c r="A50" s="41" t="s">
        <v>5</v>
      </c>
      <c r="B50" s="608"/>
      <c r="C50" s="609"/>
      <c r="D50" s="609"/>
      <c r="E50" s="609"/>
      <c r="F50" s="609"/>
      <c r="G50" s="609"/>
      <c r="H50" s="609"/>
      <c r="I50" s="609"/>
      <c r="J50" s="609"/>
      <c r="K50" s="609"/>
      <c r="L50" s="610"/>
    </row>
    <row r="51" spans="1:12" ht="20.100000000000001" customHeight="1">
      <c r="E51" s="20"/>
      <c r="F51" s="20"/>
      <c r="G51" s="20"/>
      <c r="H51" s="10"/>
    </row>
    <row r="52" spans="1:12" ht="20.100000000000001" customHeight="1">
      <c r="E52" s="20"/>
      <c r="F52" s="20"/>
      <c r="G52" s="20"/>
    </row>
    <row r="53" spans="1:12" ht="20.100000000000001" customHeight="1">
      <c r="E53" s="20"/>
      <c r="F53" s="20"/>
      <c r="G53" s="20"/>
    </row>
    <row r="54" spans="1:12" ht="20.100000000000001" customHeight="1">
      <c r="E54" s="20"/>
      <c r="F54" s="20"/>
      <c r="G54" s="20"/>
    </row>
    <row r="55" spans="1:12" ht="20.100000000000001" customHeight="1">
      <c r="E55" s="20"/>
      <c r="F55" s="20"/>
      <c r="G55" s="20"/>
    </row>
    <row r="56" spans="1:12" ht="20.100000000000001" customHeight="1">
      <c r="E56" s="20"/>
      <c r="F56" s="20"/>
      <c r="G56" s="20"/>
    </row>
    <row r="57" spans="1:12" ht="20.100000000000001" customHeight="1">
      <c r="E57" s="20"/>
      <c r="F57" s="20"/>
      <c r="G57" s="20"/>
    </row>
    <row r="58" spans="1:12" ht="20.100000000000001" customHeight="1">
      <c r="E58" s="20"/>
      <c r="F58" s="20"/>
      <c r="G58" s="20"/>
    </row>
    <row r="59" spans="1:12" ht="20.100000000000001" customHeight="1">
      <c r="E59" s="20"/>
      <c r="F59" s="20"/>
      <c r="G59" s="20"/>
    </row>
    <row r="60" spans="1:12" ht="20.100000000000001" customHeight="1">
      <c r="E60" s="20"/>
      <c r="F60" s="20"/>
      <c r="G60" s="20"/>
    </row>
    <row r="61" spans="1:12" ht="20.100000000000001" customHeight="1">
      <c r="E61" s="20"/>
      <c r="F61" s="20"/>
      <c r="G61" s="20"/>
    </row>
    <row r="62" spans="1:12" ht="20.100000000000001" customHeight="1">
      <c r="E62" s="20"/>
      <c r="F62" s="20"/>
      <c r="G62" s="20"/>
    </row>
  </sheetData>
  <mergeCells count="148">
    <mergeCell ref="C47:D47"/>
    <mergeCell ref="E47:F47"/>
    <mergeCell ref="C48:D48"/>
    <mergeCell ref="E48:F48"/>
    <mergeCell ref="C49:D49"/>
    <mergeCell ref="E49:F49"/>
    <mergeCell ref="C44:D44"/>
    <mergeCell ref="E44:F44"/>
    <mergeCell ref="C45:D45"/>
    <mergeCell ref="E45:F45"/>
    <mergeCell ref="C46:D46"/>
    <mergeCell ref="E46:F46"/>
    <mergeCell ref="C41:D41"/>
    <mergeCell ref="E41:F41"/>
    <mergeCell ref="C42:D42"/>
    <mergeCell ref="E42:F42"/>
    <mergeCell ref="C43:D43"/>
    <mergeCell ref="E43:F43"/>
    <mergeCell ref="E36:F36"/>
    <mergeCell ref="C37:D37"/>
    <mergeCell ref="E37:F37"/>
    <mergeCell ref="C38:D38"/>
    <mergeCell ref="E38:F38"/>
    <mergeCell ref="C39:D39"/>
    <mergeCell ref="E39:F39"/>
    <mergeCell ref="I49:J49"/>
    <mergeCell ref="K49:L49"/>
    <mergeCell ref="C34:D34"/>
    <mergeCell ref="E34:F34"/>
    <mergeCell ref="C35:D35"/>
    <mergeCell ref="E35:F35"/>
    <mergeCell ref="C36:D36"/>
    <mergeCell ref="I46:J46"/>
    <mergeCell ref="K46:L46"/>
    <mergeCell ref="I47:J47"/>
    <mergeCell ref="K47:L47"/>
    <mergeCell ref="I48:J48"/>
    <mergeCell ref="K48:L48"/>
    <mergeCell ref="I43:J43"/>
    <mergeCell ref="K43:L43"/>
    <mergeCell ref="I44:J44"/>
    <mergeCell ref="K44:L44"/>
    <mergeCell ref="I45:J45"/>
    <mergeCell ref="K45:L45"/>
    <mergeCell ref="I39:J39"/>
    <mergeCell ref="K39:L39"/>
    <mergeCell ref="I41:J41"/>
    <mergeCell ref="K41:L41"/>
    <mergeCell ref="I42:J42"/>
    <mergeCell ref="K42:L42"/>
    <mergeCell ref="I36:J36"/>
    <mergeCell ref="K36:L36"/>
    <mergeCell ref="I37:J37"/>
    <mergeCell ref="K37:L37"/>
    <mergeCell ref="I38:J38"/>
    <mergeCell ref="K38:L38"/>
    <mergeCell ref="I33:J33"/>
    <mergeCell ref="K33:L33"/>
    <mergeCell ref="I34:J34"/>
    <mergeCell ref="K34:L34"/>
    <mergeCell ref="I35:J35"/>
    <mergeCell ref="K35:L35"/>
    <mergeCell ref="K28:L28"/>
    <mergeCell ref="K27:L27"/>
    <mergeCell ref="I29:J29"/>
    <mergeCell ref="I30:J30"/>
    <mergeCell ref="I27:J27"/>
    <mergeCell ref="I28:J28"/>
    <mergeCell ref="C33:D33"/>
    <mergeCell ref="E33:F33"/>
    <mergeCell ref="C25:D25"/>
    <mergeCell ref="C26:D26"/>
    <mergeCell ref="C27:D27"/>
    <mergeCell ref="C28:D28"/>
    <mergeCell ref="C29:D29"/>
    <mergeCell ref="C30:D30"/>
    <mergeCell ref="E25:F25"/>
    <mergeCell ref="E26:F26"/>
    <mergeCell ref="B5:L5"/>
    <mergeCell ref="I7:J7"/>
    <mergeCell ref="K7:L7"/>
    <mergeCell ref="I12:L12"/>
    <mergeCell ref="C14:E14"/>
    <mergeCell ref="B4:F4"/>
    <mergeCell ref="E3:F3"/>
    <mergeCell ref="H19:H20"/>
    <mergeCell ref="E27:F27"/>
    <mergeCell ref="I24:J24"/>
    <mergeCell ref="I17:J17"/>
    <mergeCell ref="C24:D24"/>
    <mergeCell ref="K26:L26"/>
    <mergeCell ref="K25:L25"/>
    <mergeCell ref="I25:J25"/>
    <mergeCell ref="I26:J26"/>
    <mergeCell ref="I19:J19"/>
    <mergeCell ref="K19:L19"/>
    <mergeCell ref="I20:J20"/>
    <mergeCell ref="K20:L20"/>
    <mergeCell ref="K24:L24"/>
    <mergeCell ref="E24:F24"/>
    <mergeCell ref="B50:L50"/>
    <mergeCell ref="C16:D16"/>
    <mergeCell ref="C17:D17"/>
    <mergeCell ref="C18:D18"/>
    <mergeCell ref="E18:F18"/>
    <mergeCell ref="E19:F19"/>
    <mergeCell ref="C19:D19"/>
    <mergeCell ref="G28:G30"/>
    <mergeCell ref="I18:J18"/>
    <mergeCell ref="K17:L17"/>
    <mergeCell ref="G33:G36"/>
    <mergeCell ref="G38:G41"/>
    <mergeCell ref="K18:L18"/>
    <mergeCell ref="G46:G48"/>
    <mergeCell ref="B22:L23"/>
    <mergeCell ref="I16:J16"/>
    <mergeCell ref="K16:L16"/>
    <mergeCell ref="G16:G19"/>
    <mergeCell ref="G24:G27"/>
    <mergeCell ref="E28:F28"/>
    <mergeCell ref="E29:F29"/>
    <mergeCell ref="E30:F30"/>
    <mergeCell ref="K30:L30"/>
    <mergeCell ref="K29:L29"/>
    <mergeCell ref="A46:A49"/>
    <mergeCell ref="I2:J2"/>
    <mergeCell ref="G42:G44"/>
    <mergeCell ref="K3:L3"/>
    <mergeCell ref="K4:L4"/>
    <mergeCell ref="B3:C3"/>
    <mergeCell ref="H7:H11"/>
    <mergeCell ref="C15:E15"/>
    <mergeCell ref="A28:A30"/>
    <mergeCell ref="A24:A27"/>
    <mergeCell ref="A22:A23"/>
    <mergeCell ref="A7:A11"/>
    <mergeCell ref="E16:F16"/>
    <mergeCell ref="E17:F17"/>
    <mergeCell ref="E7:G7"/>
    <mergeCell ref="I3:J3"/>
    <mergeCell ref="F14:L15"/>
    <mergeCell ref="A42:A45"/>
    <mergeCell ref="A33:A37"/>
    <mergeCell ref="A16:A19"/>
    <mergeCell ref="A14:A15"/>
    <mergeCell ref="A38:A41"/>
    <mergeCell ref="B7:D7"/>
    <mergeCell ref="I4:J4"/>
  </mergeCells>
  <phoneticPr fontId="11" type="noConversion"/>
  <printOptions horizontalCentered="1"/>
  <pageMargins left="7.874015748031496E-2" right="7.874015748031496E-2" top="7.874015748031496E-2" bottom="0.27559055118110237" header="0.31496062992125984" footer="0.15748031496062992"/>
  <pageSetup paperSize="9" orientation="portrait" r:id="rId1"/>
  <headerFooter scaleWithDoc="0">
    <oddFooter>&amp;R表單編號Q-QP-802-04  版本: A</oddFooter>
  </headerFooter>
  <rowBreaks count="1" manualBreakCount="1">
    <brk id="3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rgb="FF00B050"/>
    <pageSetUpPr fitToPage="1"/>
  </sheetPr>
  <dimension ref="A1:T59"/>
  <sheetViews>
    <sheetView showWhiteSpace="0" zoomScaleNormal="100" workbookViewId="0">
      <selection activeCell="D18" sqref="D17:D18"/>
    </sheetView>
  </sheetViews>
  <sheetFormatPr defaultRowHeight="16.5"/>
  <cols>
    <col min="1" max="1" width="7.375" customWidth="1"/>
    <col min="2" max="2" width="11.625" bestFit="1" customWidth="1"/>
    <col min="3" max="3" width="7.375" customWidth="1"/>
    <col min="4" max="6" width="7.625" customWidth="1"/>
    <col min="7" max="10" width="7.375" customWidth="1"/>
    <col min="11" max="11" width="7" bestFit="1" customWidth="1"/>
    <col min="12" max="13" width="7" style="306" hidden="1" customWidth="1"/>
    <col min="14" max="14" width="11.375" style="306" hidden="1" customWidth="1"/>
    <col min="15" max="15" width="7.375" customWidth="1"/>
    <col min="16" max="16" width="13.625" bestFit="1" customWidth="1"/>
    <col min="18" max="18" width="16.5" bestFit="1" customWidth="1"/>
  </cols>
  <sheetData>
    <row r="1" spans="1:20" ht="30.75" customHeight="1" thickBot="1">
      <c r="A1" s="68"/>
      <c r="B1" s="704" t="s">
        <v>71</v>
      </c>
      <c r="C1" s="704"/>
      <c r="D1" s="704"/>
      <c r="E1" s="705"/>
      <c r="F1" s="61" t="s">
        <v>159</v>
      </c>
      <c r="G1" s="61"/>
      <c r="H1" s="686" t="s">
        <v>160</v>
      </c>
      <c r="I1" s="687"/>
      <c r="J1" s="687"/>
      <c r="K1" s="685" t="str">
        <f>表頭!B3</f>
        <v>WD-2601007</v>
      </c>
      <c r="L1" s="685"/>
      <c r="M1" s="685"/>
      <c r="N1" s="685"/>
      <c r="O1" s="685"/>
      <c r="P1" s="685"/>
      <c r="Q1" s="68"/>
    </row>
    <row r="2" spans="1:20">
      <c r="A2" s="706" t="s">
        <v>73</v>
      </c>
      <c r="B2" s="707"/>
      <c r="C2" s="708" t="str">
        <f>表頭!I2</f>
        <v>景碩科技 清華廠</v>
      </c>
      <c r="D2" s="709"/>
      <c r="E2" s="709"/>
      <c r="F2" s="710"/>
      <c r="G2" s="162"/>
      <c r="H2" s="672" t="s">
        <v>74</v>
      </c>
      <c r="I2" s="673"/>
      <c r="J2" s="74"/>
      <c r="K2" s="688">
        <f ca="1">TODAY()</f>
        <v>46027</v>
      </c>
      <c r="L2" s="689"/>
      <c r="M2" s="689"/>
      <c r="N2" s="689"/>
      <c r="O2" s="689"/>
      <c r="P2" s="689"/>
      <c r="Q2" s="690"/>
    </row>
    <row r="3" spans="1:20">
      <c r="A3" s="693" t="s">
        <v>75</v>
      </c>
      <c r="B3" s="694"/>
      <c r="C3" s="669" t="str">
        <f>表頭!B4</f>
        <v>Q59-859-1(2+4W)</v>
      </c>
      <c r="D3" s="670"/>
      <c r="E3" s="670"/>
      <c r="F3" s="711"/>
      <c r="G3" s="159"/>
      <c r="H3" s="674" t="s">
        <v>76</v>
      </c>
      <c r="I3" s="675"/>
      <c r="J3" s="75"/>
      <c r="K3" s="669" t="str">
        <f>表頭!H4</f>
        <v>Gats-77XX</v>
      </c>
      <c r="L3" s="670"/>
      <c r="M3" s="670"/>
      <c r="N3" s="670"/>
      <c r="O3" s="670"/>
      <c r="P3" s="691" t="s">
        <v>148</v>
      </c>
      <c r="Q3" s="692"/>
    </row>
    <row r="4" spans="1:20">
      <c r="A4" s="693" t="s">
        <v>77</v>
      </c>
      <c r="B4" s="694"/>
      <c r="C4" s="695" t="s">
        <v>78</v>
      </c>
      <c r="D4" s="696"/>
      <c r="E4" s="696"/>
      <c r="F4" s="697"/>
      <c r="G4" s="160"/>
      <c r="H4" s="674" t="s">
        <v>79</v>
      </c>
      <c r="I4" s="675"/>
      <c r="J4" s="75"/>
      <c r="K4" s="669" t="str">
        <f>表頭!C14</f>
        <v>O2601007.T</v>
      </c>
      <c r="L4" s="670"/>
      <c r="M4" s="670"/>
      <c r="N4" s="670"/>
      <c r="O4" s="670"/>
      <c r="P4" s="670"/>
      <c r="Q4" s="671"/>
    </row>
    <row r="5" spans="1:20" ht="17.25" thickBot="1">
      <c r="A5" s="676" t="s">
        <v>80</v>
      </c>
      <c r="B5" s="677"/>
      <c r="C5" s="678" t="s">
        <v>157</v>
      </c>
      <c r="D5" s="679"/>
      <c r="E5" s="680"/>
      <c r="F5" s="681"/>
      <c r="G5" s="161"/>
      <c r="H5" s="657" t="s">
        <v>81</v>
      </c>
      <c r="I5" s="658"/>
      <c r="J5" s="76"/>
      <c r="K5" s="682"/>
      <c r="L5" s="683"/>
      <c r="M5" s="683"/>
      <c r="N5" s="683"/>
      <c r="O5" s="683"/>
      <c r="P5" s="683"/>
      <c r="Q5" s="684"/>
    </row>
    <row r="6" spans="1:20" ht="9.75" customHeight="1" thickBot="1">
      <c r="A6" s="68"/>
      <c r="B6" s="68"/>
      <c r="C6" s="68"/>
      <c r="D6" s="68"/>
      <c r="E6" s="68"/>
      <c r="F6" s="68"/>
      <c r="G6" s="68"/>
      <c r="H6" s="68"/>
      <c r="I6" s="68"/>
      <c r="J6" s="68"/>
      <c r="K6" s="68"/>
      <c r="L6" s="68"/>
      <c r="M6" s="68"/>
      <c r="N6" s="68"/>
      <c r="O6" s="68"/>
      <c r="P6" s="68"/>
      <c r="Q6" s="68"/>
    </row>
    <row r="7" spans="1:20" s="79" customFormat="1" ht="16.5" customHeight="1">
      <c r="A7" s="78" t="s">
        <v>82</v>
      </c>
      <c r="B7" s="485" t="s">
        <v>235</v>
      </c>
      <c r="C7" s="485" t="s">
        <v>235</v>
      </c>
      <c r="D7" s="496" t="s">
        <v>235</v>
      </c>
      <c r="E7" s="333" t="s">
        <v>156</v>
      </c>
      <c r="F7" s="244" t="s">
        <v>156</v>
      </c>
      <c r="G7" s="244" t="s">
        <v>156</v>
      </c>
      <c r="H7" s="244" t="s">
        <v>156</v>
      </c>
      <c r="I7" s="139" t="s">
        <v>156</v>
      </c>
      <c r="J7" s="180" t="s">
        <v>186</v>
      </c>
      <c r="K7" s="394" t="s">
        <v>186</v>
      </c>
      <c r="L7" s="387" t="s">
        <v>282</v>
      </c>
      <c r="M7" s="388" t="s">
        <v>282</v>
      </c>
      <c r="N7" s="666" t="s">
        <v>84</v>
      </c>
      <c r="O7" s="141"/>
      <c r="P7" s="653" t="s">
        <v>84</v>
      </c>
      <c r="Q7" s="655" t="s">
        <v>85</v>
      </c>
    </row>
    <row r="8" spans="1:20" s="79" customFormat="1" ht="16.5" customHeight="1">
      <c r="A8" s="80" t="s">
        <v>86</v>
      </c>
      <c r="B8" s="495">
        <v>1.5</v>
      </c>
      <c r="C8" s="495">
        <v>1</v>
      </c>
      <c r="D8" s="494">
        <v>0.8</v>
      </c>
      <c r="E8" s="321">
        <v>1.5</v>
      </c>
      <c r="F8" s="191">
        <v>3</v>
      </c>
      <c r="G8" s="142">
        <v>1.5</v>
      </c>
      <c r="H8" s="192">
        <v>1.5</v>
      </c>
      <c r="I8" s="142">
        <v>5</v>
      </c>
      <c r="J8" s="181">
        <v>1</v>
      </c>
      <c r="K8" s="395">
        <v>10</v>
      </c>
      <c r="L8" s="389" t="s">
        <v>283</v>
      </c>
      <c r="M8" s="390" t="s">
        <v>284</v>
      </c>
      <c r="N8" s="667"/>
      <c r="O8" s="143"/>
      <c r="P8" s="654"/>
      <c r="Q8" s="656"/>
    </row>
    <row r="9" spans="1:20" s="79" customFormat="1" ht="17.25" customHeight="1" thickBot="1">
      <c r="A9" s="81" t="s">
        <v>87</v>
      </c>
      <c r="B9" s="488" t="s">
        <v>88</v>
      </c>
      <c r="C9" s="488" t="s">
        <v>89</v>
      </c>
      <c r="D9" s="396" t="s">
        <v>90</v>
      </c>
      <c r="E9" s="332" t="s">
        <v>91</v>
      </c>
      <c r="F9" s="82" t="s">
        <v>92</v>
      </c>
      <c r="G9" s="82" t="s">
        <v>185</v>
      </c>
      <c r="H9" s="82" t="s">
        <v>93</v>
      </c>
      <c r="I9" s="83" t="s">
        <v>94</v>
      </c>
      <c r="J9" s="175" t="s">
        <v>187</v>
      </c>
      <c r="K9" s="396" t="s">
        <v>96</v>
      </c>
      <c r="L9" s="391"/>
      <c r="M9" s="392"/>
      <c r="N9" s="668"/>
      <c r="O9" s="84" t="s">
        <v>95</v>
      </c>
      <c r="P9" s="654"/>
      <c r="Q9" s="656"/>
    </row>
    <row r="10" spans="1:20" ht="18.75" customHeight="1">
      <c r="A10" s="69">
        <v>101</v>
      </c>
      <c r="B10" s="211" t="s">
        <v>213</v>
      </c>
      <c r="C10" s="211" t="s">
        <v>213</v>
      </c>
      <c r="D10" s="328" t="s">
        <v>212</v>
      </c>
      <c r="E10" s="331" t="s">
        <v>98</v>
      </c>
      <c r="F10" s="85" t="s">
        <v>98</v>
      </c>
      <c r="G10" s="85" t="s">
        <v>98</v>
      </c>
      <c r="H10" s="85" t="s">
        <v>98</v>
      </c>
      <c r="I10" s="85" t="s">
        <v>98</v>
      </c>
      <c r="J10" s="176" t="s">
        <v>97</v>
      </c>
      <c r="K10" s="110" t="s">
        <v>98</v>
      </c>
      <c r="L10" s="110"/>
      <c r="M10" s="110"/>
      <c r="N10" s="337"/>
      <c r="O10" s="555">
        <f t="shared" ref="O10:O23" si="0">A10-100</f>
        <v>1</v>
      </c>
      <c r="P10" s="116" t="s">
        <v>99</v>
      </c>
      <c r="Q10" s="557">
        <v>1</v>
      </c>
      <c r="R10" s="550" t="s">
        <v>191</v>
      </c>
      <c r="S10" s="550">
        <v>1</v>
      </c>
      <c r="T10" s="550" t="s">
        <v>191</v>
      </c>
    </row>
    <row r="11" spans="1:20" ht="18.75" customHeight="1" thickBot="1">
      <c r="A11" s="301">
        <f>A10+1</f>
        <v>102</v>
      </c>
      <c r="B11" s="300" t="s">
        <v>100</v>
      </c>
      <c r="C11" s="300" t="s">
        <v>100</v>
      </c>
      <c r="D11" s="330" t="s">
        <v>100</v>
      </c>
      <c r="E11" s="330" t="s">
        <v>100</v>
      </c>
      <c r="F11" s="135" t="s">
        <v>100</v>
      </c>
      <c r="G11" s="135" t="s">
        <v>100</v>
      </c>
      <c r="H11" s="135" t="s">
        <v>100</v>
      </c>
      <c r="I11" s="135" t="s">
        <v>100</v>
      </c>
      <c r="J11" s="179" t="s">
        <v>98</v>
      </c>
      <c r="K11" s="336" t="s">
        <v>98</v>
      </c>
      <c r="L11" s="336"/>
      <c r="M11" s="336"/>
      <c r="N11" s="338"/>
      <c r="O11" s="555">
        <f t="shared" si="0"/>
        <v>2</v>
      </c>
      <c r="P11" s="136" t="s">
        <v>101</v>
      </c>
      <c r="Q11" s="551">
        <v>4</v>
      </c>
      <c r="R11" s="550" t="s">
        <v>192</v>
      </c>
      <c r="S11" s="550">
        <v>4</v>
      </c>
      <c r="T11" s="550" t="s">
        <v>192</v>
      </c>
    </row>
    <row r="12" spans="1:20" ht="18.75" customHeight="1" thickBot="1">
      <c r="A12" s="301">
        <f>A11+1</f>
        <v>103</v>
      </c>
      <c r="B12" s="460" cm="1">
        <f t="array" ref="B12:N12">_xlfn._xlws.FILTER('40-3.5-20L'!AD:AP,'40-3.5-20L'!AP:AP='top-nc'!P12)</f>
        <v>2</v>
      </c>
      <c r="C12" s="461">
        <v>2</v>
      </c>
      <c r="D12" s="462">
        <v>2</v>
      </c>
      <c r="E12" s="462">
        <v>2</v>
      </c>
      <c r="F12" s="461">
        <v>2</v>
      </c>
      <c r="G12" s="461">
        <v>2</v>
      </c>
      <c r="H12" s="461">
        <v>2</v>
      </c>
      <c r="I12" s="414" t="str">
        <v>―</v>
      </c>
      <c r="J12" s="461">
        <v>2</v>
      </c>
      <c r="K12" s="414" t="str">
        <v>―</v>
      </c>
      <c r="L12" s="414">
        <v>2</v>
      </c>
      <c r="M12" s="414">
        <v>19</v>
      </c>
      <c r="N12" s="463" t="str">
        <v>AF定位PIN-2.0</v>
      </c>
      <c r="O12" s="555">
        <f t="shared" si="0"/>
        <v>3</v>
      </c>
      <c r="P12" s="464" t="str">
        <f>R12</f>
        <v>AF定位PIN-2.0</v>
      </c>
      <c r="Q12" s="558">
        <v>4</v>
      </c>
      <c r="R12" s="550" t="s">
        <v>291</v>
      </c>
      <c r="S12" s="550">
        <v>4</v>
      </c>
      <c r="T12" s="550" t="s">
        <v>291</v>
      </c>
    </row>
    <row r="13" spans="1:20" s="539" customFormat="1" ht="18.75" customHeight="1">
      <c r="A13" s="510">
        <f t="shared" ref="A13:A37" si="1">A12+1</f>
        <v>104</v>
      </c>
      <c r="B13" s="561">
        <v>2</v>
      </c>
      <c r="C13" s="562" t="s">
        <v>98</v>
      </c>
      <c r="D13" s="562" t="s">
        <v>98</v>
      </c>
      <c r="E13" s="562" t="s">
        <v>98</v>
      </c>
      <c r="F13" s="562" t="s">
        <v>98</v>
      </c>
      <c r="G13" s="562" t="s">
        <v>98</v>
      </c>
      <c r="H13" s="559" t="s">
        <v>98</v>
      </c>
      <c r="I13" s="559" t="s">
        <v>98</v>
      </c>
      <c r="J13" s="559" t="s">
        <v>98</v>
      </c>
      <c r="K13" s="559" t="s">
        <v>98</v>
      </c>
      <c r="L13" s="559" t="s">
        <v>98</v>
      </c>
      <c r="M13" s="563"/>
      <c r="N13" s="560">
        <v>4</v>
      </c>
      <c r="O13" s="555">
        <f t="shared" si="0"/>
        <v>4</v>
      </c>
      <c r="P13" s="564" t="s">
        <v>314</v>
      </c>
      <c r="Q13" s="558">
        <v>4</v>
      </c>
      <c r="R13" s="550" t="s">
        <v>314</v>
      </c>
      <c r="S13" s="550">
        <v>4</v>
      </c>
      <c r="T13" s="550" t="s">
        <v>314</v>
      </c>
    </row>
    <row r="14" spans="1:20" ht="22.5" customHeight="1">
      <c r="A14" s="510">
        <f t="shared" si="1"/>
        <v>105</v>
      </c>
      <c r="B14" s="364" t="str" cm="1">
        <f t="array" ref="B14:N14">_xlfn._xlws.FILTER('40-3.5-20L'!B:N,'40-3.5-20L'!N:N='top-nc'!P14)</f>
        <v>M1.7沈頭</v>
      </c>
      <c r="C14" s="365">
        <v>1.8</v>
      </c>
      <c r="D14" s="366">
        <v>1.8</v>
      </c>
      <c r="E14" s="366">
        <v>1.8</v>
      </c>
      <c r="F14" s="367">
        <v>1.8</v>
      </c>
      <c r="G14" s="367">
        <v>1.8</v>
      </c>
      <c r="H14" s="368" t="str">
        <v>M1.7
裏沈頭</v>
      </c>
      <c r="I14" s="365" t="str">
        <v>―</v>
      </c>
      <c r="J14" s="369" t="str">
        <v>―</v>
      </c>
      <c r="K14" s="366" t="str">
        <v>―</v>
      </c>
      <c r="L14" s="366">
        <v>3</v>
      </c>
      <c r="M14" s="366">
        <v>9.1</v>
      </c>
      <c r="N14" s="370" t="str">
        <v>CD支柱-3.0</v>
      </c>
      <c r="O14" s="555">
        <f t="shared" si="0"/>
        <v>5</v>
      </c>
      <c r="P14" s="247" t="str">
        <f>R14</f>
        <v>CD支柱-3.0</v>
      </c>
      <c r="Q14" s="551">
        <v>6</v>
      </c>
      <c r="R14" s="550" t="s">
        <v>294</v>
      </c>
      <c r="S14" s="550">
        <v>11</v>
      </c>
      <c r="T14" s="550" t="s">
        <v>294</v>
      </c>
    </row>
    <row r="15" spans="1:20" ht="18.75" customHeight="1">
      <c r="A15" s="510">
        <f t="shared" si="1"/>
        <v>106</v>
      </c>
      <c r="B15" s="62" t="s">
        <v>103</v>
      </c>
      <c r="C15" s="62">
        <v>1.3</v>
      </c>
      <c r="D15" s="317">
        <v>1</v>
      </c>
      <c r="E15" s="317" t="s">
        <v>98</v>
      </c>
      <c r="F15" s="86" t="s">
        <v>98</v>
      </c>
      <c r="G15" s="152" t="s">
        <v>98</v>
      </c>
      <c r="H15" s="86" t="s">
        <v>98</v>
      </c>
      <c r="I15" s="86" t="s">
        <v>98</v>
      </c>
      <c r="J15" s="177" t="s">
        <v>217</v>
      </c>
      <c r="K15" s="317" t="s">
        <v>98</v>
      </c>
      <c r="L15" s="329"/>
      <c r="M15" s="329"/>
      <c r="N15" s="339"/>
      <c r="O15" s="555">
        <f t="shared" si="0"/>
        <v>6</v>
      </c>
      <c r="P15" s="154" t="s">
        <v>104</v>
      </c>
      <c r="Q15" s="551">
        <v>2</v>
      </c>
      <c r="R15" s="550" t="s">
        <v>193</v>
      </c>
      <c r="S15" s="550">
        <v>2</v>
      </c>
      <c r="T15" s="550" t="s">
        <v>193</v>
      </c>
    </row>
    <row r="16" spans="1:20" ht="18.75" customHeight="1">
      <c r="A16" s="510">
        <f t="shared" si="1"/>
        <v>107</v>
      </c>
      <c r="B16" s="86" t="s">
        <v>98</v>
      </c>
      <c r="C16" s="86" t="s">
        <v>98</v>
      </c>
      <c r="D16" s="325" t="s">
        <v>212</v>
      </c>
      <c r="E16" s="317" t="s">
        <v>98</v>
      </c>
      <c r="F16" s="86" t="s">
        <v>98</v>
      </c>
      <c r="G16" s="212" t="s">
        <v>213</v>
      </c>
      <c r="H16" s="86" t="s">
        <v>98</v>
      </c>
      <c r="I16" s="86" t="s">
        <v>98</v>
      </c>
      <c r="J16" s="177" t="s">
        <v>98</v>
      </c>
      <c r="K16" s="317" t="s">
        <v>98</v>
      </c>
      <c r="L16" s="329"/>
      <c r="M16" s="329"/>
      <c r="N16" s="339"/>
      <c r="O16" s="555">
        <f t="shared" si="0"/>
        <v>7</v>
      </c>
      <c r="P16" s="154" t="s">
        <v>105</v>
      </c>
      <c r="Q16" s="551">
        <v>1</v>
      </c>
      <c r="R16" s="550" t="s">
        <v>105</v>
      </c>
      <c r="S16" s="550">
        <v>1</v>
      </c>
      <c r="T16" s="550" t="s">
        <v>105</v>
      </c>
    </row>
    <row r="17" spans="1:20" ht="18.75" customHeight="1">
      <c r="A17" s="510">
        <f t="shared" si="1"/>
        <v>108</v>
      </c>
      <c r="B17" s="152" t="s">
        <v>98</v>
      </c>
      <c r="C17" s="152" t="s">
        <v>98</v>
      </c>
      <c r="D17" s="317" t="s">
        <v>98</v>
      </c>
      <c r="E17" s="317" t="s">
        <v>98</v>
      </c>
      <c r="F17" s="152" t="s">
        <v>98</v>
      </c>
      <c r="G17" s="212" t="s">
        <v>213</v>
      </c>
      <c r="H17" s="152" t="s">
        <v>98</v>
      </c>
      <c r="I17" s="152" t="s">
        <v>98</v>
      </c>
      <c r="J17" s="177" t="s">
        <v>98</v>
      </c>
      <c r="K17" s="317" t="s">
        <v>217</v>
      </c>
      <c r="L17" s="329"/>
      <c r="M17" s="329"/>
      <c r="N17" s="339"/>
      <c r="O17" s="555">
        <f t="shared" si="0"/>
        <v>8</v>
      </c>
      <c r="P17" s="154" t="s">
        <v>190</v>
      </c>
      <c r="Q17" s="551">
        <v>1</v>
      </c>
      <c r="R17" s="550" t="s">
        <v>189</v>
      </c>
      <c r="S17" s="550">
        <v>1</v>
      </c>
      <c r="T17" s="550" t="s">
        <v>189</v>
      </c>
    </row>
    <row r="18" spans="1:20" ht="18.75" customHeight="1">
      <c r="A18" s="510">
        <f t="shared" si="1"/>
        <v>109</v>
      </c>
      <c r="B18" s="86" t="s">
        <v>98</v>
      </c>
      <c r="C18" s="86" t="s">
        <v>98</v>
      </c>
      <c r="D18" s="317" t="s">
        <v>98</v>
      </c>
      <c r="E18" s="327" t="s">
        <v>107</v>
      </c>
      <c r="F18" s="212" t="s">
        <v>213</v>
      </c>
      <c r="G18" s="212" t="s">
        <v>213</v>
      </c>
      <c r="H18" s="212" t="s">
        <v>213</v>
      </c>
      <c r="I18" s="212" t="s">
        <v>213</v>
      </c>
      <c r="J18" s="177" t="s">
        <v>98</v>
      </c>
      <c r="K18" s="317" t="s">
        <v>98</v>
      </c>
      <c r="L18" s="329"/>
      <c r="M18" s="329"/>
      <c r="N18" s="339"/>
      <c r="O18" s="555">
        <f t="shared" si="0"/>
        <v>9</v>
      </c>
      <c r="P18" s="154" t="s">
        <v>106</v>
      </c>
      <c r="Q18" s="551">
        <v>1</v>
      </c>
      <c r="R18" s="550" t="s">
        <v>194</v>
      </c>
      <c r="S18" s="550">
        <v>1</v>
      </c>
      <c r="T18" s="550" t="s">
        <v>194</v>
      </c>
    </row>
    <row r="19" spans="1:20" ht="18.75" customHeight="1">
      <c r="A19" s="510">
        <f t="shared" si="1"/>
        <v>110</v>
      </c>
      <c r="B19" s="86" t="s">
        <v>98</v>
      </c>
      <c r="C19" s="86" t="s">
        <v>98</v>
      </c>
      <c r="D19" s="317" t="s">
        <v>98</v>
      </c>
      <c r="E19" s="320" t="s">
        <v>107</v>
      </c>
      <c r="F19" s="86" t="s">
        <v>98</v>
      </c>
      <c r="G19" s="152" t="s">
        <v>98</v>
      </c>
      <c r="H19" s="86" t="s">
        <v>98</v>
      </c>
      <c r="I19" s="62" t="s">
        <v>107</v>
      </c>
      <c r="J19" s="177" t="s">
        <v>98</v>
      </c>
      <c r="K19" s="320" t="s">
        <v>107</v>
      </c>
      <c r="L19" s="114"/>
      <c r="M19" s="114"/>
      <c r="N19" s="339"/>
      <c r="O19" s="555">
        <f t="shared" si="0"/>
        <v>10</v>
      </c>
      <c r="P19" s="93" t="s">
        <v>108</v>
      </c>
      <c r="Q19" s="551">
        <v>6</v>
      </c>
      <c r="R19" s="550" t="s">
        <v>195</v>
      </c>
      <c r="S19" s="550">
        <v>6</v>
      </c>
      <c r="T19" s="550" t="s">
        <v>195</v>
      </c>
    </row>
    <row r="20" spans="1:20" ht="18.75" customHeight="1">
      <c r="A20" s="510">
        <f t="shared" si="1"/>
        <v>111</v>
      </c>
      <c r="B20" s="86" t="s">
        <v>98</v>
      </c>
      <c r="C20" s="86" t="s">
        <v>98</v>
      </c>
      <c r="D20" s="317" t="s">
        <v>98</v>
      </c>
      <c r="E20" s="317">
        <v>2</v>
      </c>
      <c r="F20" s="86">
        <v>2</v>
      </c>
      <c r="G20" s="152">
        <v>2</v>
      </c>
      <c r="H20" s="86">
        <v>2</v>
      </c>
      <c r="I20" s="86">
        <v>2</v>
      </c>
      <c r="J20" s="177" t="s">
        <v>98</v>
      </c>
      <c r="K20" s="320">
        <v>2</v>
      </c>
      <c r="L20" s="114"/>
      <c r="M20" s="114"/>
      <c r="N20" s="339"/>
      <c r="O20" s="555">
        <f t="shared" si="0"/>
        <v>11</v>
      </c>
      <c r="P20" s="154" t="s">
        <v>109</v>
      </c>
      <c r="Q20" s="551">
        <v>4</v>
      </c>
      <c r="R20" s="550" t="s">
        <v>196</v>
      </c>
      <c r="S20" s="550">
        <v>4</v>
      </c>
      <c r="T20" s="550" t="s">
        <v>196</v>
      </c>
    </row>
    <row r="21" spans="1:20" ht="18.75" customHeight="1" thickBot="1">
      <c r="A21" s="510">
        <f t="shared" si="1"/>
        <v>112</v>
      </c>
      <c r="B21" s="86" t="s">
        <v>98</v>
      </c>
      <c r="C21" s="86" t="s">
        <v>98</v>
      </c>
      <c r="D21" s="317" t="s">
        <v>98</v>
      </c>
      <c r="E21" s="324">
        <v>2</v>
      </c>
      <c r="F21" s="95">
        <v>2</v>
      </c>
      <c r="G21" s="152">
        <v>2</v>
      </c>
      <c r="H21" s="95">
        <v>2</v>
      </c>
      <c r="I21" s="96" t="s">
        <v>110</v>
      </c>
      <c r="J21" s="177" t="s">
        <v>98</v>
      </c>
      <c r="K21" s="111">
        <v>2.2000000000000002</v>
      </c>
      <c r="L21" s="384"/>
      <c r="M21" s="384"/>
      <c r="N21" s="340"/>
      <c r="O21" s="555">
        <f t="shared" si="0"/>
        <v>12</v>
      </c>
      <c r="P21" s="106" t="s">
        <v>111</v>
      </c>
      <c r="Q21" s="551">
        <v>4</v>
      </c>
      <c r="R21" s="550" t="s">
        <v>197</v>
      </c>
      <c r="S21" s="550">
        <v>4</v>
      </c>
      <c r="T21" s="550" t="s">
        <v>197</v>
      </c>
    </row>
    <row r="22" spans="1:20" ht="18.75" customHeight="1" thickBot="1">
      <c r="A22" s="510">
        <f t="shared" si="1"/>
        <v>113</v>
      </c>
      <c r="B22" s="369" t="str" cm="1">
        <f t="array" ref="B22:N22">_xlfn._xlws.FILTER('40-3.5-20L'!AR:BD,'40-3.5-20L'!BD:BD='top-nc'!P22)</f>
        <v>―</v>
      </c>
      <c r="C22" s="369" t="str">
        <v>―</v>
      </c>
      <c r="D22" s="371" t="str">
        <v>―</v>
      </c>
      <c r="E22" s="419" t="str">
        <v>―</v>
      </c>
      <c r="F22" s="420" t="str">
        <v>―</v>
      </c>
      <c r="G22" s="420" t="str">
        <v>―</v>
      </c>
      <c r="H22" s="420" t="str">
        <v>―</v>
      </c>
      <c r="I22" s="420" t="str">
        <v>―</v>
      </c>
      <c r="J22" s="465" t="str">
        <v>―</v>
      </c>
      <c r="K22" s="466">
        <v>3.03</v>
      </c>
      <c r="L22" s="467">
        <v>3</v>
      </c>
      <c r="M22" s="467" t="str">
        <v>---</v>
      </c>
      <c r="N22" s="468" t="str">
        <v>3.0定位PIN(外)</v>
      </c>
      <c r="O22" s="555">
        <f t="shared" si="0"/>
        <v>13</v>
      </c>
      <c r="P22" s="418" t="str">
        <f>R22</f>
        <v>3.0定位PIN(外)</v>
      </c>
      <c r="Q22" s="558">
        <v>3</v>
      </c>
      <c r="R22" s="550" t="s">
        <v>289</v>
      </c>
      <c r="S22" s="550">
        <v>3</v>
      </c>
      <c r="T22" s="550" t="s">
        <v>289</v>
      </c>
    </row>
    <row r="23" spans="1:20" ht="21.75" thickBot="1">
      <c r="A23" s="510">
        <f t="shared" si="1"/>
        <v>114</v>
      </c>
      <c r="B23" s="86" t="s">
        <v>98</v>
      </c>
      <c r="C23" s="86" t="s">
        <v>98</v>
      </c>
      <c r="D23" s="317" t="s">
        <v>98</v>
      </c>
      <c r="E23" s="469" t="s">
        <v>155</v>
      </c>
      <c r="F23" s="470" t="s">
        <v>155</v>
      </c>
      <c r="G23" s="470" t="s">
        <v>155</v>
      </c>
      <c r="H23" s="471" t="s">
        <v>102</v>
      </c>
      <c r="I23" s="85" t="s">
        <v>98</v>
      </c>
      <c r="J23" s="177" t="s">
        <v>98</v>
      </c>
      <c r="K23" s="329" t="s">
        <v>98</v>
      </c>
      <c r="L23" s="329"/>
      <c r="M23" s="329"/>
      <c r="N23" s="339"/>
      <c r="O23" s="555">
        <f t="shared" si="0"/>
        <v>14</v>
      </c>
      <c r="P23" s="213" t="s">
        <v>112</v>
      </c>
      <c r="Q23" s="551">
        <v>6</v>
      </c>
      <c r="R23" s="550" t="s">
        <v>198</v>
      </c>
      <c r="S23" s="550">
        <v>14</v>
      </c>
      <c r="T23" s="550" t="s">
        <v>198</v>
      </c>
    </row>
    <row r="24" spans="1:20" ht="18.75" customHeight="1" thickBot="1">
      <c r="A24" s="510">
        <f t="shared" si="1"/>
        <v>115</v>
      </c>
      <c r="B24" s="86" t="s">
        <v>98</v>
      </c>
      <c r="C24" s="86" t="s">
        <v>98</v>
      </c>
      <c r="D24" s="317" t="s">
        <v>98</v>
      </c>
      <c r="E24" s="317" t="s">
        <v>98</v>
      </c>
      <c r="F24" s="94" t="s">
        <v>98</v>
      </c>
      <c r="G24" s="94" t="s">
        <v>98</v>
      </c>
      <c r="H24" s="94" t="s">
        <v>98</v>
      </c>
      <c r="I24" s="151" t="s">
        <v>154</v>
      </c>
      <c r="J24" s="178" t="s">
        <v>98</v>
      </c>
      <c r="K24" s="285" t="s">
        <v>155</v>
      </c>
      <c r="L24" s="385"/>
      <c r="M24" s="385"/>
      <c r="N24" s="341"/>
      <c r="O24" s="312">
        <f t="shared" ref="O24:O30" si="2">A24-100</f>
        <v>15</v>
      </c>
      <c r="P24" s="283" t="s">
        <v>113</v>
      </c>
      <c r="Q24" s="551">
        <v>6</v>
      </c>
      <c r="R24" s="550" t="s">
        <v>199</v>
      </c>
      <c r="S24" s="550">
        <v>16</v>
      </c>
      <c r="T24" s="550" t="s">
        <v>199</v>
      </c>
    </row>
    <row r="25" spans="1:20" ht="21.75" thickBot="1">
      <c r="A25" s="510">
        <f t="shared" si="1"/>
        <v>116</v>
      </c>
      <c r="B25" s="86" t="s">
        <v>98</v>
      </c>
      <c r="C25" s="86" t="s">
        <v>98</v>
      </c>
      <c r="D25" s="317" t="s">
        <v>98</v>
      </c>
      <c r="E25" s="326">
        <v>6</v>
      </c>
      <c r="F25" s="292" t="s">
        <v>245</v>
      </c>
      <c r="G25" s="94">
        <v>3.2</v>
      </c>
      <c r="H25" s="94">
        <v>3.2</v>
      </c>
      <c r="I25" s="94">
        <v>3.2</v>
      </c>
      <c r="J25" s="178" t="s">
        <v>98</v>
      </c>
      <c r="K25" s="112" t="s">
        <v>216</v>
      </c>
      <c r="L25" s="386"/>
      <c r="M25" s="386"/>
      <c r="N25" s="341"/>
      <c r="O25" s="312">
        <f t="shared" si="2"/>
        <v>16</v>
      </c>
      <c r="P25" s="105" t="s">
        <v>114</v>
      </c>
      <c r="Q25" s="558">
        <v>4</v>
      </c>
      <c r="R25" s="550" t="s">
        <v>337</v>
      </c>
      <c r="S25" s="550">
        <v>4</v>
      </c>
      <c r="T25" s="550" t="s">
        <v>210</v>
      </c>
    </row>
    <row r="26" spans="1:20" s="498" customFormat="1" ht="21">
      <c r="A26" s="510">
        <f t="shared" si="1"/>
        <v>117</v>
      </c>
      <c r="B26" s="553" t="s">
        <v>98</v>
      </c>
      <c r="C26" s="553" t="s">
        <v>98</v>
      </c>
      <c r="D26" s="554" t="s">
        <v>98</v>
      </c>
      <c r="E26" s="512">
        <v>1.8</v>
      </c>
      <c r="F26" s="512">
        <v>1.8</v>
      </c>
      <c r="G26" s="512">
        <v>1.8</v>
      </c>
      <c r="H26" s="513" t="s">
        <v>102</v>
      </c>
      <c r="I26" s="514" t="s">
        <v>98</v>
      </c>
      <c r="J26" s="514" t="s">
        <v>98</v>
      </c>
      <c r="K26" s="517" t="s">
        <v>98</v>
      </c>
      <c r="L26" s="386"/>
      <c r="M26" s="386"/>
      <c r="N26" s="341"/>
      <c r="O26" s="516">
        <f t="shared" si="2"/>
        <v>17</v>
      </c>
      <c r="P26" s="515" t="s">
        <v>296</v>
      </c>
      <c r="Q26" s="558">
        <v>4</v>
      </c>
      <c r="R26" s="550" t="s">
        <v>297</v>
      </c>
      <c r="S26" s="550">
        <v>4</v>
      </c>
      <c r="T26" s="550" t="s">
        <v>297</v>
      </c>
    </row>
    <row r="27" spans="1:20" ht="18.75" customHeight="1">
      <c r="A27" s="510">
        <f t="shared" si="1"/>
        <v>118</v>
      </c>
      <c r="B27" s="86" t="s">
        <v>98</v>
      </c>
      <c r="C27" s="86" t="s">
        <v>98</v>
      </c>
      <c r="D27" s="317" t="s">
        <v>98</v>
      </c>
      <c r="E27" s="317" t="s">
        <v>98</v>
      </c>
      <c r="F27" s="86" t="s">
        <v>98</v>
      </c>
      <c r="G27" s="152" t="s">
        <v>98</v>
      </c>
      <c r="H27" s="86" t="s">
        <v>98</v>
      </c>
      <c r="I27" s="86" t="s">
        <v>98</v>
      </c>
      <c r="J27" s="177" t="s">
        <v>98</v>
      </c>
      <c r="K27" s="317" t="s">
        <v>115</v>
      </c>
      <c r="L27" s="329"/>
      <c r="M27" s="329"/>
      <c r="N27" s="339"/>
      <c r="O27" s="516">
        <f t="shared" si="2"/>
        <v>18</v>
      </c>
      <c r="P27" s="154" t="s">
        <v>116</v>
      </c>
      <c r="Q27" s="551">
        <v>1</v>
      </c>
      <c r="R27" s="550" t="s">
        <v>200</v>
      </c>
      <c r="S27" s="550"/>
      <c r="T27" s="550"/>
    </row>
    <row r="28" spans="1:20" ht="18.75" customHeight="1">
      <c r="A28" s="510">
        <f t="shared" si="1"/>
        <v>119</v>
      </c>
      <c r="B28" s="86" t="s">
        <v>98</v>
      </c>
      <c r="C28" s="86" t="s">
        <v>217</v>
      </c>
      <c r="D28" s="317" t="s">
        <v>98</v>
      </c>
      <c r="E28" s="317" t="s">
        <v>98</v>
      </c>
      <c r="F28" s="86" t="s">
        <v>98</v>
      </c>
      <c r="G28" s="152" t="s">
        <v>98</v>
      </c>
      <c r="H28" s="86" t="s">
        <v>98</v>
      </c>
      <c r="I28" s="86" t="s">
        <v>98</v>
      </c>
      <c r="J28" s="177" t="s">
        <v>98</v>
      </c>
      <c r="K28" s="317" t="s">
        <v>117</v>
      </c>
      <c r="L28" s="329"/>
      <c r="M28" s="329"/>
      <c r="N28" s="339"/>
      <c r="O28" s="555">
        <f t="shared" si="2"/>
        <v>19</v>
      </c>
      <c r="P28" s="154" t="s">
        <v>118</v>
      </c>
      <c r="Q28" s="551">
        <v>8</v>
      </c>
      <c r="R28" s="550" t="s">
        <v>201</v>
      </c>
      <c r="S28" s="550"/>
      <c r="T28" s="550"/>
    </row>
    <row r="29" spans="1:20" ht="18.75" customHeight="1">
      <c r="A29" s="510">
        <f t="shared" si="1"/>
        <v>120</v>
      </c>
      <c r="B29" s="86" t="s">
        <v>98</v>
      </c>
      <c r="C29" s="86" t="s">
        <v>98</v>
      </c>
      <c r="D29" s="317" t="s">
        <v>98</v>
      </c>
      <c r="E29" s="317" t="s">
        <v>98</v>
      </c>
      <c r="F29" s="86" t="s">
        <v>98</v>
      </c>
      <c r="G29" s="152" t="s">
        <v>98</v>
      </c>
      <c r="H29" s="86" t="s">
        <v>98</v>
      </c>
      <c r="I29" s="86" t="s">
        <v>98</v>
      </c>
      <c r="J29" s="177" t="s">
        <v>217</v>
      </c>
      <c r="K29" s="320">
        <v>3</v>
      </c>
      <c r="L29" s="114"/>
      <c r="M29" s="114"/>
      <c r="N29" s="339"/>
      <c r="O29" s="555">
        <f t="shared" si="2"/>
        <v>20</v>
      </c>
      <c r="P29" s="154" t="s">
        <v>119</v>
      </c>
      <c r="Q29" s="551">
        <v>4</v>
      </c>
      <c r="R29" s="550" t="s">
        <v>202</v>
      </c>
      <c r="S29" s="550"/>
      <c r="T29" s="550"/>
    </row>
    <row r="30" spans="1:20" ht="18.75" customHeight="1">
      <c r="A30" s="510">
        <f t="shared" si="1"/>
        <v>121</v>
      </c>
      <c r="B30" s="369" t="str" cm="1">
        <f t="array" ref="B30:N30">_xlfn._xlws.FILTER('40-3.5-20L'!P:AB,'40-3.5-20L'!AB:AB='top-nc'!P30)</f>
        <v>―</v>
      </c>
      <c r="C30" s="369" t="str">
        <v>―</v>
      </c>
      <c r="D30" s="371" t="str">
        <v>―</v>
      </c>
      <c r="E30" s="371" t="str">
        <v>―</v>
      </c>
      <c r="F30" s="369" t="str">
        <v>―</v>
      </c>
      <c r="G30" s="369" t="str">
        <v>―</v>
      </c>
      <c r="H30" s="369" t="str">
        <v>―</v>
      </c>
      <c r="I30" s="368" t="str">
        <v>M1.7沈頭</v>
      </c>
      <c r="J30" s="372">
        <v>6.5</v>
      </c>
      <c r="K30" s="366">
        <v>3.5</v>
      </c>
      <c r="L30" s="366">
        <v>3</v>
      </c>
      <c r="M30" s="366">
        <v>75.3</v>
      </c>
      <c r="N30" s="370" t="str">
        <v>G支柱-3.5</v>
      </c>
      <c r="O30" s="555">
        <f t="shared" si="2"/>
        <v>21</v>
      </c>
      <c r="P30" s="247" t="str">
        <f>R30</f>
        <v>G支柱-3.5</v>
      </c>
      <c r="Q30" s="551">
        <v>4</v>
      </c>
      <c r="R30" s="550" t="s">
        <v>255</v>
      </c>
      <c r="S30" s="550"/>
      <c r="T30" s="550"/>
    </row>
    <row r="31" spans="1:20" s="277" customFormat="1" ht="18.75" customHeight="1">
      <c r="A31" s="510">
        <f t="shared" si="1"/>
        <v>122</v>
      </c>
      <c r="B31" s="279" t="s">
        <v>100</v>
      </c>
      <c r="C31" s="553"/>
      <c r="D31" s="554"/>
      <c r="E31" s="712" t="s">
        <v>320</v>
      </c>
      <c r="F31" s="713"/>
      <c r="G31" s="713"/>
      <c r="H31" s="713"/>
      <c r="I31" s="235"/>
      <c r="J31" s="235"/>
      <c r="K31" s="250"/>
      <c r="L31" s="339"/>
      <c r="M31" s="339"/>
      <c r="N31" s="339"/>
      <c r="O31" s="280"/>
      <c r="P31" s="154" t="s">
        <v>315</v>
      </c>
      <c r="Q31" s="551">
        <v>2526</v>
      </c>
      <c r="R31" s="550" t="s">
        <v>88</v>
      </c>
      <c r="S31" s="550"/>
      <c r="T31" s="550"/>
    </row>
    <row r="32" spans="1:20" s="550" customFormat="1" ht="18.75" customHeight="1">
      <c r="A32" s="510">
        <f t="shared" si="1"/>
        <v>123</v>
      </c>
      <c r="B32" s="553"/>
      <c r="C32" s="553" t="s">
        <v>100</v>
      </c>
      <c r="D32" s="554"/>
      <c r="E32" s="565"/>
      <c r="F32" s="566"/>
      <c r="G32" s="566"/>
      <c r="H32" s="566"/>
      <c r="I32" s="307"/>
      <c r="J32" s="307"/>
      <c r="K32" s="555"/>
      <c r="L32" s="339"/>
      <c r="M32" s="339"/>
      <c r="N32" s="339"/>
      <c r="O32" s="554"/>
      <c r="P32" s="154" t="s">
        <v>321</v>
      </c>
      <c r="Q32" s="551">
        <v>2526</v>
      </c>
      <c r="R32" s="550" t="s">
        <v>89</v>
      </c>
    </row>
    <row r="33" spans="1:20" s="550" customFormat="1" ht="18.75" customHeight="1">
      <c r="A33" s="510">
        <f t="shared" si="1"/>
        <v>124</v>
      </c>
      <c r="B33" s="553"/>
      <c r="C33" s="553"/>
      <c r="D33" s="554" t="s">
        <v>100</v>
      </c>
      <c r="E33" s="565"/>
      <c r="F33" s="566"/>
      <c r="G33" s="566"/>
      <c r="H33" s="566"/>
      <c r="I33" s="307"/>
      <c r="J33" s="307"/>
      <c r="K33" s="555"/>
      <c r="L33" s="339"/>
      <c r="M33" s="339"/>
      <c r="N33" s="339"/>
      <c r="O33" s="554"/>
      <c r="P33" s="154" t="s">
        <v>322</v>
      </c>
      <c r="Q33" s="551">
        <v>2526</v>
      </c>
      <c r="R33" s="550" t="s">
        <v>90</v>
      </c>
    </row>
    <row r="34" spans="1:20" ht="18.75" customHeight="1">
      <c r="A34" s="510">
        <f t="shared" si="1"/>
        <v>125</v>
      </c>
      <c r="B34" s="236"/>
      <c r="C34" s="236"/>
      <c r="D34" s="317"/>
      <c r="E34" s="317" t="s">
        <v>100</v>
      </c>
      <c r="F34" s="236"/>
      <c r="G34" s="236"/>
      <c r="H34" s="236"/>
      <c r="I34" s="236"/>
      <c r="J34" s="236"/>
      <c r="K34" s="236"/>
      <c r="L34" s="317"/>
      <c r="M34" s="317"/>
      <c r="N34" s="317"/>
      <c r="O34" s="242"/>
      <c r="P34" s="154" t="s">
        <v>231</v>
      </c>
      <c r="Q34" s="551">
        <v>2526</v>
      </c>
      <c r="R34" s="550" t="s">
        <v>316</v>
      </c>
      <c r="S34" s="550"/>
      <c r="T34" s="550"/>
    </row>
    <row r="35" spans="1:20" ht="18.75" customHeight="1">
      <c r="A35" s="510">
        <f t="shared" si="1"/>
        <v>126</v>
      </c>
      <c r="B35" s="236"/>
      <c r="C35" s="236"/>
      <c r="D35" s="317"/>
      <c r="E35" s="317"/>
      <c r="F35" s="236" t="s">
        <v>100</v>
      </c>
      <c r="G35" s="236"/>
      <c r="H35" s="236"/>
      <c r="I35" s="95"/>
      <c r="J35" s="95"/>
      <c r="K35" s="95"/>
      <c r="L35" s="342"/>
      <c r="M35" s="342"/>
      <c r="N35" s="342"/>
      <c r="O35" s="111"/>
      <c r="P35" s="154" t="s">
        <v>232</v>
      </c>
      <c r="Q35" s="551">
        <v>2526</v>
      </c>
      <c r="R35" s="550" t="s">
        <v>317</v>
      </c>
      <c r="S35" s="550"/>
      <c r="T35" s="550"/>
    </row>
    <row r="36" spans="1:20" ht="18.75" customHeight="1">
      <c r="A36" s="510">
        <f t="shared" si="1"/>
        <v>127</v>
      </c>
      <c r="B36" s="236"/>
      <c r="C36" s="236"/>
      <c r="D36" s="317"/>
      <c r="E36" s="317"/>
      <c r="F36" s="236"/>
      <c r="G36" s="241" t="s">
        <v>100</v>
      </c>
      <c r="H36" s="241"/>
      <c r="I36" s="307"/>
      <c r="J36" s="307"/>
      <c r="K36" s="310"/>
      <c r="L36" s="343"/>
      <c r="M36" s="343"/>
      <c r="N36" s="343"/>
      <c r="O36" s="231"/>
      <c r="P36" s="154" t="s">
        <v>233</v>
      </c>
      <c r="Q36" s="551">
        <v>2526</v>
      </c>
      <c r="R36" s="550" t="s">
        <v>318</v>
      </c>
      <c r="S36" s="550"/>
      <c r="T36" s="550"/>
    </row>
    <row r="37" spans="1:20" ht="18.75" customHeight="1" thickBot="1">
      <c r="A37" s="510">
        <f t="shared" si="1"/>
        <v>128</v>
      </c>
      <c r="B37" s="236"/>
      <c r="C37" s="236"/>
      <c r="D37" s="317"/>
      <c r="E37" s="317"/>
      <c r="F37" s="236"/>
      <c r="G37" s="241"/>
      <c r="H37" s="241" t="s">
        <v>100</v>
      </c>
      <c r="I37" s="232" t="s">
        <v>203</v>
      </c>
      <c r="J37" s="233" t="s">
        <v>149</v>
      </c>
      <c r="K37" s="234" t="str">
        <f>表頭!J8</f>
        <v>0.06</v>
      </c>
      <c r="L37" s="234"/>
      <c r="M37" s="234"/>
      <c r="N37" s="234"/>
      <c r="O37" s="245" t="s">
        <v>150</v>
      </c>
      <c r="P37" s="154" t="s">
        <v>234</v>
      </c>
      <c r="Q37" s="551">
        <v>2526</v>
      </c>
      <c r="R37" s="550" t="s">
        <v>319</v>
      </c>
      <c r="S37" s="550"/>
      <c r="T37" s="550"/>
    </row>
    <row r="38" spans="1:20" ht="16.5" customHeight="1">
      <c r="A38" s="73" t="s">
        <v>120</v>
      </c>
      <c r="B38" s="86"/>
      <c r="C38" s="86"/>
      <c r="D38" s="317"/>
      <c r="E38" s="317"/>
      <c r="F38" s="86"/>
      <c r="G38" s="152"/>
      <c r="H38" s="86"/>
      <c r="I38" s="85"/>
      <c r="J38" s="85"/>
      <c r="K38" s="107"/>
      <c r="L38" s="339"/>
      <c r="M38" s="339"/>
      <c r="N38" s="339"/>
      <c r="O38" s="114"/>
      <c r="P38" s="70"/>
      <c r="Q38" s="278"/>
    </row>
    <row r="39" spans="1:20" ht="16.5" customHeight="1" thickBot="1">
      <c r="A39" s="72" t="s">
        <v>121</v>
      </c>
      <c r="B39" s="86"/>
      <c r="C39" s="86"/>
      <c r="D39" s="318"/>
      <c r="E39" s="318"/>
      <c r="F39" s="86"/>
      <c r="G39" s="152"/>
      <c r="H39" s="62"/>
      <c r="I39" s="91"/>
      <c r="J39" s="91"/>
      <c r="K39" s="92"/>
      <c r="L39" s="344"/>
      <c r="M39" s="344"/>
      <c r="N39" s="344"/>
      <c r="O39" s="88"/>
      <c r="P39" s="274"/>
      <c r="Q39" s="117"/>
    </row>
    <row r="40" spans="1:20" ht="17.25" thickBot="1">
      <c r="A40" s="64"/>
      <c r="B40" s="65"/>
      <c r="C40" s="702" t="s">
        <v>131</v>
      </c>
      <c r="D40" s="703"/>
      <c r="E40" s="703"/>
      <c r="F40" s="728"/>
      <c r="G40" s="729"/>
      <c r="H40" s="729"/>
      <c r="I40" s="730"/>
      <c r="J40" s="65"/>
      <c r="K40" s="66"/>
      <c r="L40" s="66"/>
      <c r="M40" s="66"/>
      <c r="N40" s="66"/>
      <c r="O40" s="67"/>
      <c r="P40" s="284"/>
      <c r="Q40" s="115"/>
    </row>
    <row r="41" spans="1:20" ht="17.25" thickBot="1">
      <c r="A41" s="714" t="s">
        <v>129</v>
      </c>
      <c r="B41" s="646"/>
      <c r="C41" s="99">
        <v>100</v>
      </c>
      <c r="D41" s="524" t="s">
        <v>128</v>
      </c>
      <c r="E41" s="319">
        <v>100</v>
      </c>
      <c r="F41" s="296"/>
      <c r="G41" s="665" t="s">
        <v>132</v>
      </c>
      <c r="H41" s="665"/>
      <c r="I41" s="298"/>
      <c r="J41" s="662" t="s">
        <v>122</v>
      </c>
      <c r="K41" s="663"/>
      <c r="L41" s="663"/>
      <c r="M41" s="663"/>
      <c r="N41" s="663"/>
      <c r="O41" s="664"/>
      <c r="P41" s="720">
        <v>40</v>
      </c>
      <c r="Q41" s="721"/>
    </row>
    <row r="42" spans="1:20" ht="17.25" thickBot="1">
      <c r="A42" s="715" t="s">
        <v>312</v>
      </c>
      <c r="B42" s="716"/>
      <c r="C42" s="525" t="s">
        <v>130</v>
      </c>
      <c r="D42" s="322">
        <v>46</v>
      </c>
      <c r="E42" s="323" t="s">
        <v>127</v>
      </c>
      <c r="F42" s="210">
        <v>22</v>
      </c>
      <c r="G42" s="222"/>
      <c r="H42" s="252" t="s">
        <v>128</v>
      </c>
      <c r="I42" s="221">
        <v>32</v>
      </c>
      <c r="J42" s="659" t="s">
        <v>134</v>
      </c>
      <c r="K42" s="660"/>
      <c r="L42" s="660"/>
      <c r="M42" s="660"/>
      <c r="N42" s="660"/>
      <c r="O42" s="661"/>
      <c r="P42" s="724">
        <v>5.1999999999999998E-2</v>
      </c>
      <c r="Q42" s="725"/>
    </row>
    <row r="43" spans="1:20" ht="17.25" thickBot="1">
      <c r="A43" s="714" t="s">
        <v>129</v>
      </c>
      <c r="B43" s="717"/>
      <c r="C43" s="99">
        <v>100</v>
      </c>
      <c r="D43" s="524" t="s">
        <v>128</v>
      </c>
      <c r="E43" s="319">
        <v>100</v>
      </c>
      <c r="F43" s="296"/>
      <c r="G43" s="665" t="s">
        <v>132</v>
      </c>
      <c r="H43" s="665"/>
      <c r="I43" s="298"/>
      <c r="J43" s="659" t="s">
        <v>135</v>
      </c>
      <c r="K43" s="660"/>
      <c r="L43" s="660"/>
      <c r="M43" s="660"/>
      <c r="N43" s="660"/>
      <c r="O43" s="661"/>
      <c r="P43" s="726">
        <v>5.6000000000000001E-2</v>
      </c>
      <c r="Q43" s="727"/>
    </row>
    <row r="44" spans="1:20" ht="17.25" thickBot="1">
      <c r="A44" s="718" t="s">
        <v>313</v>
      </c>
      <c r="B44" s="719"/>
      <c r="C44" s="525" t="s">
        <v>130</v>
      </c>
      <c r="D44" s="322">
        <v>46</v>
      </c>
      <c r="E44" s="323" t="s">
        <v>127</v>
      </c>
      <c r="F44" s="210">
        <v>36</v>
      </c>
      <c r="G44" s="305"/>
      <c r="H44" s="252" t="s">
        <v>128</v>
      </c>
      <c r="I44" s="221">
        <v>36</v>
      </c>
      <c r="J44" s="659" t="s">
        <v>136</v>
      </c>
      <c r="K44" s="660"/>
      <c r="L44" s="660"/>
      <c r="M44" s="660"/>
      <c r="N44" s="660"/>
      <c r="O44" s="661"/>
      <c r="P44" s="726">
        <v>0.06</v>
      </c>
      <c r="Q44" s="727"/>
    </row>
    <row r="45" spans="1:20" ht="17.25" thickBot="1">
      <c r="A45" s="700" t="s">
        <v>129</v>
      </c>
      <c r="B45" s="701"/>
      <c r="C45" s="99">
        <v>100</v>
      </c>
      <c r="D45" s="316" t="s">
        <v>128</v>
      </c>
      <c r="E45" s="319">
        <v>100</v>
      </c>
      <c r="F45" s="296"/>
      <c r="G45" s="665" t="s">
        <v>132</v>
      </c>
      <c r="H45" s="665"/>
      <c r="I45" s="298"/>
      <c r="J45" s="659" t="s">
        <v>137</v>
      </c>
      <c r="K45" s="660"/>
      <c r="L45" s="660"/>
      <c r="M45" s="660"/>
      <c r="N45" s="660"/>
      <c r="O45" s="661"/>
      <c r="P45" s="731">
        <v>7.9289999999999999E-2</v>
      </c>
      <c r="Q45" s="732"/>
      <c r="R45" s="306"/>
    </row>
    <row r="46" spans="1:20" ht="17.25" thickBot="1">
      <c r="A46" s="698" t="s">
        <v>238</v>
      </c>
      <c r="B46" s="699"/>
      <c r="C46" s="48" t="s">
        <v>130</v>
      </c>
      <c r="D46" s="322">
        <v>46</v>
      </c>
      <c r="E46" s="323" t="s">
        <v>127</v>
      </c>
      <c r="F46" s="156">
        <v>80</v>
      </c>
      <c r="G46" s="305"/>
      <c r="H46" s="252" t="s">
        <v>128</v>
      </c>
      <c r="I46" s="157">
        <v>80</v>
      </c>
      <c r="J46" s="659" t="s">
        <v>92</v>
      </c>
      <c r="K46" s="660"/>
      <c r="L46" s="660"/>
      <c r="M46" s="660"/>
      <c r="N46" s="660"/>
      <c r="O46" s="661"/>
      <c r="P46" s="722">
        <v>8.4279999999999994E-2</v>
      </c>
      <c r="Q46" s="723"/>
      <c r="R46" s="306"/>
    </row>
    <row r="47" spans="1:20" ht="17.25" thickBot="1">
      <c r="A47" s="158" t="s">
        <v>254</v>
      </c>
      <c r="H47" s="58"/>
      <c r="I47" s="58"/>
      <c r="J47" s="659" t="s">
        <v>242</v>
      </c>
      <c r="K47" s="660"/>
      <c r="L47" s="660"/>
      <c r="M47" s="660"/>
      <c r="N47" s="660"/>
      <c r="O47" s="661"/>
      <c r="P47" s="722">
        <v>9.9764000000000005E-2</v>
      </c>
      <c r="Q47" s="723"/>
      <c r="R47" s="306"/>
      <c r="S47" s="306"/>
    </row>
    <row r="48" spans="1:20" ht="17.25" thickBot="1">
      <c r="A48" s="537"/>
      <c r="B48" s="306"/>
      <c r="C48" s="306"/>
      <c r="D48" s="306"/>
      <c r="E48" s="306"/>
      <c r="F48" s="306"/>
      <c r="G48" s="306"/>
      <c r="H48" s="306"/>
      <c r="I48" s="306"/>
      <c r="J48" s="733" t="s">
        <v>124</v>
      </c>
      <c r="K48" s="734"/>
      <c r="L48" s="734"/>
      <c r="M48" s="734"/>
      <c r="N48" s="734"/>
      <c r="O48" s="735"/>
      <c r="P48" s="731">
        <v>0.100593</v>
      </c>
      <c r="Q48" s="732"/>
      <c r="R48" s="306"/>
      <c r="S48" s="306"/>
    </row>
    <row r="49" spans="1:19" ht="19.5">
      <c r="A49" s="258"/>
      <c r="I49" s="306"/>
      <c r="J49" s="306"/>
      <c r="K49" s="306"/>
      <c r="O49" s="306"/>
      <c r="P49" s="306"/>
      <c r="Q49" s="306"/>
      <c r="R49" s="306"/>
      <c r="S49" s="306"/>
    </row>
    <row r="54" spans="1:19">
      <c r="J54" s="539"/>
      <c r="K54" s="539"/>
      <c r="L54" s="539"/>
      <c r="M54" s="539"/>
      <c r="N54" s="539"/>
      <c r="O54" s="539"/>
      <c r="P54" s="539"/>
      <c r="Q54" s="539"/>
      <c r="R54" s="539"/>
    </row>
    <row r="55" spans="1:19">
      <c r="J55" s="539"/>
      <c r="K55" s="539"/>
      <c r="L55" s="539"/>
      <c r="M55" s="539"/>
      <c r="N55" s="539"/>
      <c r="O55" s="539"/>
      <c r="P55" s="539"/>
      <c r="Q55" s="539"/>
      <c r="R55" s="539"/>
    </row>
    <row r="56" spans="1:19">
      <c r="J56" s="539"/>
      <c r="K56" s="539"/>
      <c r="L56" s="539"/>
      <c r="M56" s="539"/>
      <c r="N56" s="539"/>
      <c r="O56" s="539"/>
      <c r="P56" s="539"/>
      <c r="Q56" s="539"/>
      <c r="R56" s="539"/>
    </row>
    <row r="57" spans="1:19">
      <c r="J57" s="539"/>
      <c r="K57" s="539"/>
      <c r="L57" s="539"/>
      <c r="M57" s="539"/>
      <c r="N57" s="539"/>
      <c r="O57" s="539"/>
      <c r="P57" s="539"/>
      <c r="Q57" s="539"/>
      <c r="R57" s="539"/>
    </row>
    <row r="58" spans="1:19">
      <c r="J58" s="539"/>
      <c r="K58" s="539"/>
      <c r="L58" s="539"/>
      <c r="M58" s="539"/>
      <c r="N58" s="539"/>
      <c r="O58" s="539"/>
      <c r="P58" s="539"/>
      <c r="Q58" s="539"/>
      <c r="R58" s="539"/>
    </row>
    <row r="59" spans="1:19">
      <c r="J59" s="539"/>
      <c r="K59" s="539"/>
      <c r="L59" s="539"/>
      <c r="M59" s="539"/>
      <c r="N59" s="539"/>
      <c r="O59" s="539"/>
      <c r="P59" s="539"/>
      <c r="Q59" s="539"/>
      <c r="R59" s="539"/>
    </row>
  </sheetData>
  <mergeCells count="51">
    <mergeCell ref="J47:O47"/>
    <mergeCell ref="P47:Q47"/>
    <mergeCell ref="J48:O48"/>
    <mergeCell ref="P48:Q48"/>
    <mergeCell ref="J45:O45"/>
    <mergeCell ref="P45:Q45"/>
    <mergeCell ref="J46:O46"/>
    <mergeCell ref="P46:Q46"/>
    <mergeCell ref="G45:H45"/>
    <mergeCell ref="A46:B46"/>
    <mergeCell ref="A45:B45"/>
    <mergeCell ref="C40:E40"/>
    <mergeCell ref="B1:E1"/>
    <mergeCell ref="A2:B2"/>
    <mergeCell ref="C2:F2"/>
    <mergeCell ref="A3:B3"/>
    <mergeCell ref="C3:F3"/>
    <mergeCell ref="E31:H31"/>
    <mergeCell ref="A41:B41"/>
    <mergeCell ref="A42:B42"/>
    <mergeCell ref="A43:B43"/>
    <mergeCell ref="A44:B44"/>
    <mergeCell ref="F40:I40"/>
    <mergeCell ref="K1:P1"/>
    <mergeCell ref="H1:J1"/>
    <mergeCell ref="K2:Q2"/>
    <mergeCell ref="P3:Q3"/>
    <mergeCell ref="H3:I3"/>
    <mergeCell ref="K4:Q4"/>
    <mergeCell ref="H2:I2"/>
    <mergeCell ref="K3:O3"/>
    <mergeCell ref="H4:I4"/>
    <mergeCell ref="A5:B5"/>
    <mergeCell ref="C5:F5"/>
    <mergeCell ref="K5:Q5"/>
    <mergeCell ref="A4:B4"/>
    <mergeCell ref="C4:F4"/>
    <mergeCell ref="P7:P9"/>
    <mergeCell ref="Q7:Q9"/>
    <mergeCell ref="H5:I5"/>
    <mergeCell ref="J44:O44"/>
    <mergeCell ref="J42:O42"/>
    <mergeCell ref="J43:O43"/>
    <mergeCell ref="J41:O41"/>
    <mergeCell ref="G41:H41"/>
    <mergeCell ref="G43:H43"/>
    <mergeCell ref="N7:N9"/>
    <mergeCell ref="P41:Q41"/>
    <mergeCell ref="P44:Q44"/>
    <mergeCell ref="P42:Q42"/>
    <mergeCell ref="P43:Q43"/>
  </mergeCells>
  <phoneticPr fontId="11" type="noConversion"/>
  <pageMargins left="0.25" right="0.25" top="0.75" bottom="0.75" header="0.3" footer="0.3"/>
  <pageSetup paperSize="9" scale="74"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003047E-6239-4550-A8BD-7B34EED46327}">
          <x14:formula1>
            <xm:f>'40-3.5-20L'!$AB$4:$AB$9</xm:f>
          </x14:formula1>
          <xm:sqref>P30</xm:sqref>
        </x14:dataValidation>
        <x14:dataValidation type="list" allowBlank="1" showInputMessage="1" showErrorMessage="1" xr:uid="{C1323028-A02A-4349-A5A6-F31CD6C6B6FC}">
          <x14:formula1>
            <xm:f>'40-3.5-20L'!$AP$4:$AP$5</xm:f>
          </x14:formula1>
          <xm:sqref>P12 Q13</xm:sqref>
        </x14:dataValidation>
        <x14:dataValidation type="list" allowBlank="1" showInputMessage="1" showErrorMessage="1" xr:uid="{BCAC0D4F-08A5-4A34-B542-57DC23F6B70D}">
          <x14:formula1>
            <xm:f>'40-3.5-20L'!$BD$4:$BD$5</xm:f>
          </x14:formula1>
          <xm:sqref>P22</xm:sqref>
        </x14:dataValidation>
        <x14:dataValidation type="list" allowBlank="1" showInputMessage="1" showErrorMessage="1" xr:uid="{DD9D2AA6-06A4-41A9-A41B-0338281D769C}">
          <x14:formula1>
            <xm:f>'40-3.5-20L'!$N$4:$N$9</xm:f>
          </x14:formula1>
          <xm:sqref>P14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rgb="FFFFC000"/>
    <pageSetUpPr fitToPage="1"/>
  </sheetPr>
  <dimension ref="A1:T46"/>
  <sheetViews>
    <sheetView view="pageBreakPreview" topLeftCell="A11" zoomScaleNormal="115" zoomScaleSheetLayoutView="100" workbookViewId="0">
      <selection activeCell="F24" sqref="F23:F24"/>
    </sheetView>
  </sheetViews>
  <sheetFormatPr defaultRowHeight="16.5"/>
  <cols>
    <col min="1" max="1" width="7.375" customWidth="1"/>
    <col min="2" max="2" width="11.625" bestFit="1" customWidth="1"/>
    <col min="3" max="3" width="7.375" customWidth="1"/>
    <col min="4" max="6" width="7.625" customWidth="1"/>
    <col min="7" max="9" width="7.375" customWidth="1"/>
    <col min="10" max="10" width="7" bestFit="1" customWidth="1"/>
    <col min="11" max="12" width="8.375" style="306" hidden="1" customWidth="1"/>
    <col min="13" max="13" width="11.375" style="306" hidden="1" customWidth="1"/>
    <col min="14" max="14" width="7.375" customWidth="1"/>
    <col min="15" max="15" width="11.5" bestFit="1" customWidth="1"/>
    <col min="16" max="16" width="9.5" customWidth="1"/>
  </cols>
  <sheetData>
    <row r="1" spans="1:20" ht="26.25" thickBot="1">
      <c r="A1" s="68"/>
      <c r="B1" s="704" t="s">
        <v>71</v>
      </c>
      <c r="C1" s="704"/>
      <c r="D1" s="704"/>
      <c r="E1" s="705"/>
      <c r="F1" s="61" t="s">
        <v>72</v>
      </c>
      <c r="G1" s="68"/>
      <c r="H1" s="60"/>
      <c r="I1" s="60"/>
      <c r="J1" s="685" t="str">
        <f>表頭!B3</f>
        <v>WD-2601007</v>
      </c>
      <c r="K1" s="685"/>
      <c r="L1" s="685"/>
      <c r="M1" s="685"/>
      <c r="N1" s="685"/>
      <c r="O1" s="685"/>
      <c r="P1" s="68"/>
    </row>
    <row r="2" spans="1:20">
      <c r="A2" s="706" t="s">
        <v>73</v>
      </c>
      <c r="B2" s="707"/>
      <c r="C2" s="708" t="str">
        <f>表頭!I2</f>
        <v>景碩科技 清華廠</v>
      </c>
      <c r="D2" s="709"/>
      <c r="E2" s="709"/>
      <c r="F2" s="710"/>
      <c r="G2" s="672" t="s">
        <v>74</v>
      </c>
      <c r="H2" s="673"/>
      <c r="I2" s="74"/>
      <c r="J2" s="688">
        <f ca="1">TODAY()</f>
        <v>46027</v>
      </c>
      <c r="K2" s="689"/>
      <c r="L2" s="689"/>
      <c r="M2" s="689"/>
      <c r="N2" s="689"/>
      <c r="O2" s="689"/>
      <c r="P2" s="690"/>
    </row>
    <row r="3" spans="1:20">
      <c r="A3" s="693" t="s">
        <v>75</v>
      </c>
      <c r="B3" s="694"/>
      <c r="C3" s="669" t="str">
        <f>表頭!B4</f>
        <v>Q59-859-1(2+4W)</v>
      </c>
      <c r="D3" s="670"/>
      <c r="E3" s="670"/>
      <c r="F3" s="711"/>
      <c r="G3" s="674" t="s">
        <v>76</v>
      </c>
      <c r="H3" s="675"/>
      <c r="I3" s="75"/>
      <c r="J3" s="669" t="str">
        <f>表頭!H4</f>
        <v>Gats-77XX</v>
      </c>
      <c r="K3" s="670"/>
      <c r="L3" s="670"/>
      <c r="M3" s="670"/>
      <c r="N3" s="670"/>
      <c r="O3" s="691" t="s">
        <v>151</v>
      </c>
      <c r="P3" s="692"/>
    </row>
    <row r="4" spans="1:20">
      <c r="A4" s="693" t="s">
        <v>77</v>
      </c>
      <c r="B4" s="694"/>
      <c r="C4" s="741" t="s">
        <v>78</v>
      </c>
      <c r="D4" s="691"/>
      <c r="E4" s="742"/>
      <c r="F4" s="743"/>
      <c r="G4" s="674" t="s">
        <v>79</v>
      </c>
      <c r="H4" s="675"/>
      <c r="I4" s="75"/>
      <c r="J4" s="669" t="str">
        <f>表頭!C15</f>
        <v>O2601007.B</v>
      </c>
      <c r="K4" s="670"/>
      <c r="L4" s="670"/>
      <c r="M4" s="670"/>
      <c r="N4" s="670"/>
      <c r="O4" s="670"/>
      <c r="P4" s="671"/>
    </row>
    <row r="5" spans="1:20" ht="17.25" thickBot="1">
      <c r="A5" s="676" t="s">
        <v>80</v>
      </c>
      <c r="B5" s="677"/>
      <c r="C5" s="678" t="s">
        <v>158</v>
      </c>
      <c r="D5" s="679"/>
      <c r="E5" s="680"/>
      <c r="F5" s="681"/>
      <c r="G5" s="657" t="s">
        <v>81</v>
      </c>
      <c r="H5" s="658"/>
      <c r="I5" s="76"/>
      <c r="J5" s="682"/>
      <c r="K5" s="683"/>
      <c r="L5" s="683"/>
      <c r="M5" s="683"/>
      <c r="N5" s="683"/>
      <c r="O5" s="683"/>
      <c r="P5" s="684"/>
    </row>
    <row r="6" spans="1:20" ht="9.75" customHeight="1" thickBot="1">
      <c r="A6" s="68"/>
      <c r="B6" s="68"/>
      <c r="C6" s="68"/>
      <c r="D6" s="68"/>
      <c r="E6" s="68"/>
      <c r="F6" s="68"/>
      <c r="G6" s="68"/>
      <c r="H6" s="68"/>
      <c r="I6" s="68"/>
      <c r="J6" s="68"/>
      <c r="K6" s="68"/>
      <c r="L6" s="68"/>
      <c r="M6" s="68"/>
      <c r="N6" s="68"/>
      <c r="O6" s="68"/>
      <c r="P6" s="68"/>
    </row>
    <row r="7" spans="1:20" s="79" customFormat="1" ht="14.25">
      <c r="A7" s="78" t="s">
        <v>82</v>
      </c>
      <c r="B7" s="139" t="s">
        <v>246</v>
      </c>
      <c r="C7" s="334" t="s">
        <v>83</v>
      </c>
      <c r="D7" s="334" t="s">
        <v>83</v>
      </c>
      <c r="E7" s="334" t="s">
        <v>336</v>
      </c>
      <c r="F7" s="139" t="s">
        <v>336</v>
      </c>
      <c r="G7" s="139" t="s">
        <v>336</v>
      </c>
      <c r="H7" s="139" t="s">
        <v>336</v>
      </c>
      <c r="I7" s="188" t="s">
        <v>186</v>
      </c>
      <c r="J7" s="394" t="s">
        <v>186</v>
      </c>
      <c r="K7" s="387" t="s">
        <v>282</v>
      </c>
      <c r="L7" s="388" t="s">
        <v>282</v>
      </c>
      <c r="M7" s="666" t="s">
        <v>84</v>
      </c>
      <c r="N7" s="141"/>
      <c r="O7" s="653" t="s">
        <v>84</v>
      </c>
      <c r="P7" s="655" t="s">
        <v>85</v>
      </c>
    </row>
    <row r="8" spans="1:20" s="79" customFormat="1" ht="16.5" customHeight="1">
      <c r="A8" s="80" t="s">
        <v>86</v>
      </c>
      <c r="B8" s="140">
        <v>1.6</v>
      </c>
      <c r="C8" s="932">
        <v>0.8</v>
      </c>
      <c r="D8" s="335">
        <v>1</v>
      </c>
      <c r="E8" s="335">
        <v>3</v>
      </c>
      <c r="F8" s="189">
        <v>1.5</v>
      </c>
      <c r="G8" s="143">
        <v>3</v>
      </c>
      <c r="H8" s="189">
        <v>5</v>
      </c>
      <c r="I8" s="189">
        <v>1</v>
      </c>
      <c r="J8" s="395">
        <v>10</v>
      </c>
      <c r="K8" s="389" t="s">
        <v>283</v>
      </c>
      <c r="L8" s="390" t="s">
        <v>284</v>
      </c>
      <c r="M8" s="667"/>
      <c r="N8" s="360"/>
      <c r="O8" s="654"/>
      <c r="P8" s="656"/>
    </row>
    <row r="9" spans="1:20" s="79" customFormat="1" ht="17.25" customHeight="1" thickBot="1">
      <c r="A9" s="81" t="s">
        <v>87</v>
      </c>
      <c r="B9" s="183" t="s">
        <v>88</v>
      </c>
      <c r="C9" s="933" t="s">
        <v>89</v>
      </c>
      <c r="D9" s="332" t="s">
        <v>90</v>
      </c>
      <c r="E9" s="332" t="s">
        <v>91</v>
      </c>
      <c r="F9" s="183" t="s">
        <v>92</v>
      </c>
      <c r="G9" s="183" t="s">
        <v>93</v>
      </c>
      <c r="H9" s="332" t="s">
        <v>94</v>
      </c>
      <c r="I9" s="183" t="s">
        <v>187</v>
      </c>
      <c r="J9" s="396" t="s">
        <v>96</v>
      </c>
      <c r="K9" s="391"/>
      <c r="L9" s="392"/>
      <c r="M9" s="668"/>
      <c r="N9" s="380" t="s">
        <v>95</v>
      </c>
      <c r="O9" s="736"/>
      <c r="P9" s="737"/>
    </row>
    <row r="10" spans="1:20" ht="18.75" customHeight="1">
      <c r="A10" s="69">
        <v>301</v>
      </c>
      <c r="B10" s="211" t="s">
        <v>213</v>
      </c>
      <c r="C10" s="211" t="s">
        <v>213</v>
      </c>
      <c r="D10" s="382" t="s">
        <v>213</v>
      </c>
      <c r="E10" s="329" t="s">
        <v>98</v>
      </c>
      <c r="F10" s="308" t="s">
        <v>98</v>
      </c>
      <c r="G10" s="308" t="s">
        <v>98</v>
      </c>
      <c r="H10" s="308" t="s">
        <v>98</v>
      </c>
      <c r="I10" s="308" t="s">
        <v>97</v>
      </c>
      <c r="J10" s="378" t="s">
        <v>98</v>
      </c>
      <c r="K10" s="378"/>
      <c r="L10" s="378"/>
      <c r="M10" s="312"/>
      <c r="N10" s="555">
        <f t="shared" ref="N10:N22" si="0">A10-300</f>
        <v>1</v>
      </c>
      <c r="O10" s="116" t="s">
        <v>99</v>
      </c>
      <c r="P10" s="489">
        <v>1</v>
      </c>
      <c r="Q10" s="550" t="s">
        <v>204</v>
      </c>
      <c r="S10" s="550">
        <v>1</v>
      </c>
      <c r="T10" s="550" t="s">
        <v>204</v>
      </c>
    </row>
    <row r="11" spans="1:20" ht="18.75" customHeight="1" thickBot="1">
      <c r="A11" s="249">
        <f>A10+1</f>
        <v>302</v>
      </c>
      <c r="B11" s="135" t="s">
        <v>100</v>
      </c>
      <c r="C11" s="135" t="s">
        <v>100</v>
      </c>
      <c r="D11" s="336" t="s">
        <v>100</v>
      </c>
      <c r="E11" s="336" t="s">
        <v>100</v>
      </c>
      <c r="F11" s="135" t="s">
        <v>100</v>
      </c>
      <c r="G11" s="135" t="s">
        <v>100</v>
      </c>
      <c r="H11" s="135" t="s">
        <v>100</v>
      </c>
      <c r="I11" s="187" t="s">
        <v>98</v>
      </c>
      <c r="J11" s="377" t="s">
        <v>98</v>
      </c>
      <c r="K11" s="377"/>
      <c r="L11" s="377"/>
      <c r="M11" s="303"/>
      <c r="N11" s="555">
        <f t="shared" si="0"/>
        <v>2</v>
      </c>
      <c r="O11" s="302" t="s">
        <v>101</v>
      </c>
      <c r="P11" s="486">
        <v>4</v>
      </c>
      <c r="Q11" s="550" t="s">
        <v>205</v>
      </c>
      <c r="S11" s="550">
        <v>4</v>
      </c>
      <c r="T11" s="550" t="s">
        <v>205</v>
      </c>
    </row>
    <row r="12" spans="1:20" ht="18.75" customHeight="1" thickBot="1">
      <c r="A12" s="251">
        <f>A11+1</f>
        <v>303</v>
      </c>
      <c r="B12" s="413" cm="1">
        <f t="array" ref="B12:M12">_xlfn._xlws.FILTER('70-30L'!AA:AL,'70-30L'!AL:AL='bot-nc'!O12)</f>
        <v>2</v>
      </c>
      <c r="C12" s="413">
        <v>2</v>
      </c>
      <c r="D12" s="414">
        <v>2</v>
      </c>
      <c r="E12" s="414">
        <v>2</v>
      </c>
      <c r="F12" s="413">
        <v>2</v>
      </c>
      <c r="G12" s="413">
        <v>2</v>
      </c>
      <c r="H12" s="415" t="str">
        <v>―</v>
      </c>
      <c r="I12" s="413">
        <v>2</v>
      </c>
      <c r="J12" s="414" t="str">
        <v>―</v>
      </c>
      <c r="K12" s="416">
        <v>2</v>
      </c>
      <c r="L12" s="416">
        <v>29</v>
      </c>
      <c r="M12" s="417" t="str">
        <v>AF定位PIN-2.0</v>
      </c>
      <c r="N12" s="555">
        <f t="shared" si="0"/>
        <v>3</v>
      </c>
      <c r="O12" s="418" t="str">
        <f>Q12</f>
        <v>AF定位PIN-2.0</v>
      </c>
      <c r="P12" s="484">
        <v>4</v>
      </c>
      <c r="Q12" s="550" t="s">
        <v>291</v>
      </c>
      <c r="S12" s="550">
        <v>4</v>
      </c>
      <c r="T12" s="550" t="s">
        <v>291</v>
      </c>
    </row>
    <row r="13" spans="1:20" ht="21">
      <c r="A13" s="313">
        <f t="shared" ref="A13:A33" si="1">A12+1</f>
        <v>304</v>
      </c>
      <c r="B13" s="364" t="str" cm="1">
        <f t="array" ref="B13:M13">_xlfn._xlws.FILTER('70-30L'!A:L,'70-30L'!L:L='bot-nc'!O13)</f>
        <v>M1.7沈頭</v>
      </c>
      <c r="C13" s="365">
        <v>1.8</v>
      </c>
      <c r="D13" s="366">
        <v>1.8</v>
      </c>
      <c r="E13" s="366">
        <v>1.8</v>
      </c>
      <c r="F13" s="365">
        <v>1.8</v>
      </c>
      <c r="G13" s="368" t="str">
        <v>M1.7
裏沈頭</v>
      </c>
      <c r="H13" s="365" t="str">
        <v>―</v>
      </c>
      <c r="I13" s="369" t="str">
        <v>―</v>
      </c>
      <c r="J13" s="366" t="str">
        <v>―</v>
      </c>
      <c r="K13" s="366">
        <v>3</v>
      </c>
      <c r="L13" s="366">
        <v>18.899999999999999</v>
      </c>
      <c r="M13" s="381" t="str">
        <v>CD支柱-3.0</v>
      </c>
      <c r="N13" s="555">
        <f t="shared" si="0"/>
        <v>4</v>
      </c>
      <c r="O13" s="247" t="str">
        <f>Q13</f>
        <v>CD支柱-3.0</v>
      </c>
      <c r="P13" s="484">
        <v>6</v>
      </c>
      <c r="Q13" s="550" t="s">
        <v>294</v>
      </c>
      <c r="S13" s="550">
        <v>8</v>
      </c>
      <c r="T13" s="550" t="s">
        <v>294</v>
      </c>
    </row>
    <row r="14" spans="1:20" ht="18.75" customHeight="1">
      <c r="A14" s="552">
        <f t="shared" si="1"/>
        <v>305</v>
      </c>
      <c r="B14" s="235" t="s">
        <v>103</v>
      </c>
      <c r="C14" s="235">
        <v>1.3</v>
      </c>
      <c r="D14" s="317">
        <v>1</v>
      </c>
      <c r="E14" s="317" t="s">
        <v>98</v>
      </c>
      <c r="F14" s="236" t="s">
        <v>98</v>
      </c>
      <c r="G14" s="236" t="s">
        <v>98</v>
      </c>
      <c r="H14" s="236" t="s">
        <v>98</v>
      </c>
      <c r="I14" s="236" t="s">
        <v>98</v>
      </c>
      <c r="J14" s="317" t="s">
        <v>98</v>
      </c>
      <c r="K14" s="317"/>
      <c r="L14" s="317"/>
      <c r="M14" s="153"/>
      <c r="N14" s="555">
        <f t="shared" si="0"/>
        <v>5</v>
      </c>
      <c r="O14" s="154" t="s">
        <v>104</v>
      </c>
      <c r="P14" s="484">
        <v>2</v>
      </c>
      <c r="Q14" s="550" t="s">
        <v>206</v>
      </c>
      <c r="S14" s="550">
        <v>2</v>
      </c>
      <c r="T14" s="550" t="s">
        <v>206</v>
      </c>
    </row>
    <row r="15" spans="1:20" ht="18.75" customHeight="1">
      <c r="A15" s="556">
        <f t="shared" si="1"/>
        <v>306</v>
      </c>
      <c r="B15" s="236" t="s">
        <v>98</v>
      </c>
      <c r="C15" s="236" t="s">
        <v>98</v>
      </c>
      <c r="D15" s="325" t="s">
        <v>213</v>
      </c>
      <c r="E15" s="317" t="s">
        <v>98</v>
      </c>
      <c r="F15" s="236" t="s">
        <v>98</v>
      </c>
      <c r="G15" s="236" t="s">
        <v>98</v>
      </c>
      <c r="H15" s="236" t="s">
        <v>98</v>
      </c>
      <c r="I15" s="236" t="s">
        <v>98</v>
      </c>
      <c r="J15" s="317" t="s">
        <v>98</v>
      </c>
      <c r="K15" s="317"/>
      <c r="L15" s="317"/>
      <c r="M15" s="153"/>
      <c r="N15" s="555">
        <f t="shared" si="0"/>
        <v>6</v>
      </c>
      <c r="O15" s="154" t="s">
        <v>105</v>
      </c>
      <c r="P15" s="484">
        <v>1</v>
      </c>
      <c r="Q15" s="550" t="s">
        <v>105</v>
      </c>
      <c r="S15" s="550">
        <v>1</v>
      </c>
      <c r="T15" s="550" t="s">
        <v>105</v>
      </c>
    </row>
    <row r="16" spans="1:20" ht="18.75" customHeight="1">
      <c r="A16" s="552">
        <f t="shared" si="1"/>
        <v>307</v>
      </c>
      <c r="B16" s="236" t="s">
        <v>98</v>
      </c>
      <c r="C16" s="236" t="s">
        <v>217</v>
      </c>
      <c r="D16" s="317" t="s">
        <v>98</v>
      </c>
      <c r="E16" s="325" t="s">
        <v>213</v>
      </c>
      <c r="F16" s="212" t="s">
        <v>213</v>
      </c>
      <c r="G16" s="212" t="s">
        <v>213</v>
      </c>
      <c r="H16" s="212" t="s">
        <v>213</v>
      </c>
      <c r="I16" s="236" t="s">
        <v>98</v>
      </c>
      <c r="J16" s="317" t="s">
        <v>98</v>
      </c>
      <c r="K16" s="317"/>
      <c r="L16" s="317"/>
      <c r="M16" s="153"/>
      <c r="N16" s="555">
        <f t="shared" si="0"/>
        <v>7</v>
      </c>
      <c r="O16" s="154" t="s">
        <v>106</v>
      </c>
      <c r="P16" s="484">
        <v>1</v>
      </c>
      <c r="Q16" s="550" t="s">
        <v>243</v>
      </c>
      <c r="S16" s="550">
        <v>1</v>
      </c>
      <c r="T16" s="550" t="s">
        <v>243</v>
      </c>
    </row>
    <row r="17" spans="1:20" ht="18.75" customHeight="1">
      <c r="A17" s="552">
        <f t="shared" si="1"/>
        <v>308</v>
      </c>
      <c r="B17" s="236" t="s">
        <v>98</v>
      </c>
      <c r="C17" s="236" t="s">
        <v>98</v>
      </c>
      <c r="D17" s="317" t="s">
        <v>98</v>
      </c>
      <c r="E17" s="320" t="s">
        <v>107</v>
      </c>
      <c r="F17" s="236" t="s">
        <v>98</v>
      </c>
      <c r="G17" s="236" t="s">
        <v>98</v>
      </c>
      <c r="H17" s="235" t="s">
        <v>107</v>
      </c>
      <c r="I17" s="236" t="s">
        <v>98</v>
      </c>
      <c r="J17" s="320" t="s">
        <v>107</v>
      </c>
      <c r="K17" s="320"/>
      <c r="L17" s="320"/>
      <c r="M17" s="153"/>
      <c r="N17" s="555">
        <f t="shared" si="0"/>
        <v>8</v>
      </c>
      <c r="O17" s="93" t="s">
        <v>108</v>
      </c>
      <c r="P17" s="484">
        <v>6</v>
      </c>
      <c r="Q17" s="550" t="s">
        <v>108</v>
      </c>
      <c r="S17" s="550">
        <v>6</v>
      </c>
      <c r="T17" s="550" t="s">
        <v>108</v>
      </c>
    </row>
    <row r="18" spans="1:20" ht="18.75" customHeight="1">
      <c r="A18" s="556">
        <f t="shared" si="1"/>
        <v>309</v>
      </c>
      <c r="B18" s="236" t="s">
        <v>98</v>
      </c>
      <c r="C18" s="236" t="s">
        <v>98</v>
      </c>
      <c r="D18" s="317" t="s">
        <v>98</v>
      </c>
      <c r="E18" s="317">
        <v>2</v>
      </c>
      <c r="F18" s="236">
        <v>2</v>
      </c>
      <c r="G18" s="236">
        <v>2</v>
      </c>
      <c r="H18" s="236">
        <v>2</v>
      </c>
      <c r="I18" s="236" t="s">
        <v>98</v>
      </c>
      <c r="J18" s="320">
        <v>2</v>
      </c>
      <c r="K18" s="320"/>
      <c r="L18" s="320"/>
      <c r="M18" s="153"/>
      <c r="N18" s="555">
        <f t="shared" si="0"/>
        <v>9</v>
      </c>
      <c r="O18" s="154" t="s">
        <v>109</v>
      </c>
      <c r="P18" s="484">
        <v>4</v>
      </c>
      <c r="Q18" s="550" t="s">
        <v>207</v>
      </c>
      <c r="S18" s="550">
        <v>4</v>
      </c>
      <c r="T18" s="550" t="s">
        <v>207</v>
      </c>
    </row>
    <row r="19" spans="1:20" ht="18.75" customHeight="1" thickBot="1">
      <c r="A19" s="552">
        <f t="shared" si="1"/>
        <v>310</v>
      </c>
      <c r="B19" s="236" t="s">
        <v>98</v>
      </c>
      <c r="C19" s="236" t="s">
        <v>98</v>
      </c>
      <c r="D19" s="317" t="s">
        <v>98</v>
      </c>
      <c r="E19" s="324">
        <v>2</v>
      </c>
      <c r="F19" s="95">
        <v>2</v>
      </c>
      <c r="G19" s="95">
        <v>2</v>
      </c>
      <c r="H19" s="96" t="s">
        <v>110</v>
      </c>
      <c r="I19" s="236" t="s">
        <v>98</v>
      </c>
      <c r="J19" s="111">
        <v>2.2000000000000002</v>
      </c>
      <c r="K19" s="111"/>
      <c r="L19" s="111"/>
      <c r="M19" s="153"/>
      <c r="N19" s="555">
        <f t="shared" si="0"/>
        <v>10</v>
      </c>
      <c r="O19" s="106" t="s">
        <v>111</v>
      </c>
      <c r="P19" s="484">
        <v>4</v>
      </c>
      <c r="Q19" s="550" t="s">
        <v>197</v>
      </c>
      <c r="S19" s="550">
        <v>4</v>
      </c>
      <c r="T19" s="550" t="s">
        <v>197</v>
      </c>
    </row>
    <row r="20" spans="1:20" ht="18.75" customHeight="1" thickBot="1">
      <c r="A20" s="552">
        <f t="shared" si="1"/>
        <v>311</v>
      </c>
      <c r="B20" s="369" t="str" cm="1">
        <f t="array" ref="B20:M20">_xlfn._xlws.FILTER('70-30L'!AN:AY,'70-30L'!AY:AY='bot-nc'!O20)</f>
        <v>―</v>
      </c>
      <c r="C20" s="369" t="str">
        <v>―</v>
      </c>
      <c r="D20" s="371" t="str">
        <v>―</v>
      </c>
      <c r="E20" s="419" t="str">
        <v>―</v>
      </c>
      <c r="F20" s="420" t="str">
        <v>―</v>
      </c>
      <c r="G20" s="420" t="str">
        <v>―</v>
      </c>
      <c r="H20" s="420" t="str">
        <v>―</v>
      </c>
      <c r="I20" s="369" t="str">
        <v>―</v>
      </c>
      <c r="J20" s="421">
        <v>3.03</v>
      </c>
      <c r="K20" s="422">
        <v>3</v>
      </c>
      <c r="L20" s="422" t="str">
        <v>---</v>
      </c>
      <c r="M20" s="381" t="str">
        <v>3.0定位PIN(外)</v>
      </c>
      <c r="N20" s="555">
        <f t="shared" si="0"/>
        <v>11</v>
      </c>
      <c r="O20" s="423" t="str">
        <f>Q20</f>
        <v>3.0定位PIN(外)</v>
      </c>
      <c r="P20" s="484">
        <v>3</v>
      </c>
      <c r="Q20" s="550" t="s">
        <v>289</v>
      </c>
      <c r="S20" s="550">
        <v>3</v>
      </c>
      <c r="T20" s="550" t="s">
        <v>289</v>
      </c>
    </row>
    <row r="21" spans="1:20" ht="18.75" customHeight="1" thickBot="1">
      <c r="A21" s="556">
        <f t="shared" si="1"/>
        <v>312</v>
      </c>
      <c r="B21" s="236" t="s">
        <v>98</v>
      </c>
      <c r="C21" s="236" t="s">
        <v>98</v>
      </c>
      <c r="D21" s="317" t="s">
        <v>98</v>
      </c>
      <c r="E21" s="497" t="s">
        <v>155</v>
      </c>
      <c r="F21" s="487" t="s">
        <v>155</v>
      </c>
      <c r="G21" s="471" t="s">
        <v>102</v>
      </c>
      <c r="H21" s="149" t="s">
        <v>98</v>
      </c>
      <c r="I21" s="236" t="s">
        <v>98</v>
      </c>
      <c r="J21" s="378" t="s">
        <v>98</v>
      </c>
      <c r="K21" s="378"/>
      <c r="L21" s="378"/>
      <c r="M21" s="153"/>
      <c r="N21" s="555">
        <f t="shared" si="0"/>
        <v>12</v>
      </c>
      <c r="O21" s="213" t="s">
        <v>112</v>
      </c>
      <c r="P21" s="484">
        <v>6</v>
      </c>
      <c r="Q21" s="550" t="s">
        <v>208</v>
      </c>
      <c r="S21" s="550">
        <v>12</v>
      </c>
      <c r="T21" s="550" t="s">
        <v>208</v>
      </c>
    </row>
    <row r="22" spans="1:20" ht="18.75" customHeight="1" thickBot="1">
      <c r="A22" s="552">
        <f t="shared" si="1"/>
        <v>313</v>
      </c>
      <c r="B22" s="236" t="s">
        <v>98</v>
      </c>
      <c r="C22" s="236" t="s">
        <v>98</v>
      </c>
      <c r="D22" s="317" t="s">
        <v>98</v>
      </c>
      <c r="E22" s="317" t="s">
        <v>98</v>
      </c>
      <c r="F22" s="184" t="s">
        <v>98</v>
      </c>
      <c r="G22" s="261" t="s">
        <v>98</v>
      </c>
      <c r="H22" s="151" t="s">
        <v>154</v>
      </c>
      <c r="I22" s="184" t="s">
        <v>98</v>
      </c>
      <c r="J22" s="285" t="s">
        <v>155</v>
      </c>
      <c r="K22" s="385"/>
      <c r="L22" s="385"/>
      <c r="M22" s="153"/>
      <c r="N22" s="555">
        <f t="shared" si="0"/>
        <v>13</v>
      </c>
      <c r="O22" s="148" t="s">
        <v>113</v>
      </c>
      <c r="P22" s="484">
        <v>6</v>
      </c>
      <c r="Q22" s="550" t="s">
        <v>209</v>
      </c>
      <c r="S22" s="550">
        <v>18</v>
      </c>
      <c r="T22" s="550" t="s">
        <v>209</v>
      </c>
    </row>
    <row r="23" spans="1:20" ht="18.75" customHeight="1" thickBot="1">
      <c r="A23" s="552">
        <f t="shared" si="1"/>
        <v>314</v>
      </c>
      <c r="B23" s="236" t="s">
        <v>98</v>
      </c>
      <c r="C23" s="236" t="s">
        <v>98</v>
      </c>
      <c r="D23" s="317" t="s">
        <v>98</v>
      </c>
      <c r="E23" s="326">
        <v>6</v>
      </c>
      <c r="F23" s="184">
        <v>3.2</v>
      </c>
      <c r="G23" s="184">
        <v>3.2</v>
      </c>
      <c r="H23" s="150">
        <v>3.2</v>
      </c>
      <c r="I23" s="184" t="s">
        <v>98</v>
      </c>
      <c r="J23" s="379" t="s">
        <v>216</v>
      </c>
      <c r="K23" s="393"/>
      <c r="L23" s="393"/>
      <c r="M23" s="153"/>
      <c r="N23" s="312">
        <f t="shared" ref="N23:N29" si="2">A23-300</f>
        <v>14</v>
      </c>
      <c r="O23" s="97" t="s">
        <v>114</v>
      </c>
      <c r="P23" s="484">
        <v>4</v>
      </c>
      <c r="Q23" s="550" t="s">
        <v>210</v>
      </c>
      <c r="S23" s="550">
        <v>4</v>
      </c>
      <c r="T23" s="550" t="s">
        <v>210</v>
      </c>
    </row>
    <row r="24" spans="1:20" s="498" customFormat="1" ht="18.75" customHeight="1">
      <c r="A24" s="556">
        <f t="shared" si="1"/>
        <v>315</v>
      </c>
      <c r="B24" s="519" t="s">
        <v>98</v>
      </c>
      <c r="C24" s="519" t="s">
        <v>98</v>
      </c>
      <c r="D24" s="522" t="s">
        <v>98</v>
      </c>
      <c r="E24" s="520">
        <v>1.8</v>
      </c>
      <c r="F24" s="520">
        <v>1.8</v>
      </c>
      <c r="G24" s="521" t="s">
        <v>102</v>
      </c>
      <c r="H24" s="519" t="s">
        <v>98</v>
      </c>
      <c r="I24" s="519" t="s">
        <v>98</v>
      </c>
      <c r="J24" s="378" t="s">
        <v>98</v>
      </c>
      <c r="K24" s="393"/>
      <c r="L24" s="393"/>
      <c r="M24" s="501"/>
      <c r="N24" s="523">
        <f t="shared" si="2"/>
        <v>15</v>
      </c>
      <c r="O24" s="518" t="s">
        <v>296</v>
      </c>
      <c r="P24" s="484">
        <v>4</v>
      </c>
      <c r="Q24" s="550" t="s">
        <v>297</v>
      </c>
      <c r="S24" s="550">
        <v>4</v>
      </c>
      <c r="T24" s="550" t="s">
        <v>297</v>
      </c>
    </row>
    <row r="25" spans="1:20" ht="18.75" customHeight="1">
      <c r="A25" s="552">
        <f t="shared" si="1"/>
        <v>316</v>
      </c>
      <c r="B25" s="236" t="s">
        <v>98</v>
      </c>
      <c r="C25" s="236" t="s">
        <v>98</v>
      </c>
      <c r="D25" s="317" t="s">
        <v>98</v>
      </c>
      <c r="E25" s="317" t="s">
        <v>98</v>
      </c>
      <c r="F25" s="236" t="s">
        <v>98</v>
      </c>
      <c r="G25" s="236" t="s">
        <v>98</v>
      </c>
      <c r="H25" s="236" t="s">
        <v>98</v>
      </c>
      <c r="I25" s="236" t="s">
        <v>98</v>
      </c>
      <c r="J25" s="317" t="s">
        <v>115</v>
      </c>
      <c r="K25" s="317"/>
      <c r="L25" s="317"/>
      <c r="M25" s="153"/>
      <c r="N25" s="523">
        <f t="shared" si="2"/>
        <v>16</v>
      </c>
      <c r="O25" s="154" t="s">
        <v>116</v>
      </c>
      <c r="P25" s="484">
        <v>1</v>
      </c>
      <c r="Q25" s="550" t="s">
        <v>200</v>
      </c>
      <c r="S25" s="550">
        <v>1</v>
      </c>
      <c r="T25" s="550" t="s">
        <v>200</v>
      </c>
    </row>
    <row r="26" spans="1:20" ht="18.75" customHeight="1">
      <c r="A26" s="552">
        <f t="shared" si="1"/>
        <v>317</v>
      </c>
      <c r="B26" s="236" t="s">
        <v>98</v>
      </c>
      <c r="C26" s="236" t="s">
        <v>98</v>
      </c>
      <c r="D26" s="317" t="s">
        <v>98</v>
      </c>
      <c r="E26" s="317" t="s">
        <v>98</v>
      </c>
      <c r="F26" s="236" t="s">
        <v>98</v>
      </c>
      <c r="G26" s="236" t="s">
        <v>98</v>
      </c>
      <c r="H26" s="236" t="s">
        <v>98</v>
      </c>
      <c r="I26" s="236" t="s">
        <v>98</v>
      </c>
      <c r="J26" s="317" t="s">
        <v>117</v>
      </c>
      <c r="K26" s="317"/>
      <c r="L26" s="317"/>
      <c r="M26" s="153"/>
      <c r="N26" s="555">
        <f t="shared" si="2"/>
        <v>17</v>
      </c>
      <c r="O26" s="154" t="s">
        <v>118</v>
      </c>
      <c r="P26" s="484">
        <v>8</v>
      </c>
      <c r="Q26" s="550" t="s">
        <v>201</v>
      </c>
      <c r="S26" s="550">
        <v>8</v>
      </c>
      <c r="T26" s="550" t="s">
        <v>201</v>
      </c>
    </row>
    <row r="27" spans="1:20" ht="18.75" customHeight="1">
      <c r="A27" s="556">
        <f t="shared" si="1"/>
        <v>318</v>
      </c>
      <c r="B27" s="236" t="s">
        <v>98</v>
      </c>
      <c r="C27" s="236" t="s">
        <v>98</v>
      </c>
      <c r="D27" s="317" t="s">
        <v>98</v>
      </c>
      <c r="E27" s="317" t="s">
        <v>98</v>
      </c>
      <c r="F27" s="236" t="s">
        <v>98</v>
      </c>
      <c r="G27" s="236" t="s">
        <v>98</v>
      </c>
      <c r="H27" s="236" t="s">
        <v>98</v>
      </c>
      <c r="I27" s="236" t="s">
        <v>98</v>
      </c>
      <c r="J27" s="320">
        <v>3</v>
      </c>
      <c r="K27" s="320"/>
      <c r="L27" s="320"/>
      <c r="M27" s="153"/>
      <c r="N27" s="555">
        <f t="shared" si="2"/>
        <v>18</v>
      </c>
      <c r="O27" s="154" t="s">
        <v>119</v>
      </c>
      <c r="P27" s="484">
        <v>4</v>
      </c>
      <c r="Q27" s="550" t="s">
        <v>256</v>
      </c>
      <c r="S27" s="550">
        <v>4</v>
      </c>
      <c r="T27" s="550" t="s">
        <v>256</v>
      </c>
    </row>
    <row r="28" spans="1:20" ht="18.75" customHeight="1">
      <c r="A28" s="552">
        <f t="shared" si="1"/>
        <v>319</v>
      </c>
      <c r="B28" s="369" t="str" cm="1">
        <f t="array" ref="B28:M28">_xlfn._xlws.FILTER('70-30L'!N:Y,'70-30L'!Y:Y='bot-nc'!O28)</f>
        <v>―</v>
      </c>
      <c r="C28" s="369" t="str">
        <v>―</v>
      </c>
      <c r="D28" s="371" t="str">
        <v>―</v>
      </c>
      <c r="E28" s="371" t="str">
        <v>―</v>
      </c>
      <c r="F28" s="369" t="str">
        <v>―</v>
      </c>
      <c r="G28" s="369" t="str">
        <v>―</v>
      </c>
      <c r="H28" s="368" t="str">
        <v>M1.7沈頭</v>
      </c>
      <c r="I28" s="372">
        <v>6.5</v>
      </c>
      <c r="J28" s="366">
        <v>3.5</v>
      </c>
      <c r="K28" s="366">
        <v>3</v>
      </c>
      <c r="L28" s="366">
        <v>65.3</v>
      </c>
      <c r="M28" s="381" t="str">
        <v>G支柱-3.5</v>
      </c>
      <c r="N28" s="555">
        <f t="shared" si="2"/>
        <v>19</v>
      </c>
      <c r="O28" s="247" t="str">
        <f>Q28</f>
        <v>G支柱-3.5</v>
      </c>
      <c r="P28" s="484">
        <v>4</v>
      </c>
      <c r="Q28" s="550" t="s">
        <v>255</v>
      </c>
      <c r="S28" s="550">
        <v>6</v>
      </c>
      <c r="T28" s="550" t="s">
        <v>255</v>
      </c>
    </row>
    <row r="29" spans="1:20" ht="18.75" customHeight="1">
      <c r="A29" s="552">
        <f t="shared" si="1"/>
        <v>320</v>
      </c>
      <c r="B29" s="246" t="s">
        <v>250</v>
      </c>
      <c r="C29" s="236" t="s">
        <v>98</v>
      </c>
      <c r="D29" s="317" t="s">
        <v>98</v>
      </c>
      <c r="E29" s="317" t="s">
        <v>98</v>
      </c>
      <c r="F29" s="236"/>
      <c r="G29" s="236"/>
      <c r="H29" s="237"/>
      <c r="I29" s="235"/>
      <c r="J29" s="329" t="s">
        <v>98</v>
      </c>
      <c r="K29" s="329"/>
      <c r="L29" s="329"/>
      <c r="M29" s="153"/>
      <c r="N29" s="555">
        <f t="shared" si="2"/>
        <v>20</v>
      </c>
      <c r="O29" s="275" t="s">
        <v>293</v>
      </c>
      <c r="P29" s="484">
        <v>1645</v>
      </c>
      <c r="Q29" s="550" t="s">
        <v>292</v>
      </c>
      <c r="S29" s="550">
        <v>5777</v>
      </c>
      <c r="T29" s="550" t="s">
        <v>292</v>
      </c>
    </row>
    <row r="30" spans="1:20" ht="18.75" customHeight="1">
      <c r="A30" s="556">
        <f t="shared" si="1"/>
        <v>321</v>
      </c>
      <c r="B30" s="236" t="s">
        <v>100</v>
      </c>
      <c r="C30" s="236" t="s">
        <v>126</v>
      </c>
      <c r="D30" s="317" t="s">
        <v>126</v>
      </c>
      <c r="E30" s="738" t="s">
        <v>253</v>
      </c>
      <c r="F30" s="739"/>
      <c r="G30" s="740"/>
      <c r="H30" s="236"/>
      <c r="I30" s="236"/>
      <c r="J30" s="236"/>
      <c r="K30" s="317"/>
      <c r="L30" s="317"/>
      <c r="M30" s="317"/>
      <c r="N30" s="263"/>
      <c r="O30" s="154" t="s">
        <v>162</v>
      </c>
      <c r="P30" s="484">
        <v>706</v>
      </c>
      <c r="Q30" s="550" t="s">
        <v>88</v>
      </c>
      <c r="S30" s="550">
        <v>1736</v>
      </c>
      <c r="T30" s="550" t="s">
        <v>88</v>
      </c>
    </row>
    <row r="31" spans="1:20" ht="18.75" customHeight="1">
      <c r="A31" s="552">
        <f t="shared" si="1"/>
        <v>322</v>
      </c>
      <c r="B31" s="236"/>
      <c r="C31" s="236"/>
      <c r="D31" s="317"/>
      <c r="E31" s="317" t="s">
        <v>100</v>
      </c>
      <c r="F31" s="236"/>
      <c r="G31" s="236"/>
      <c r="H31" s="236"/>
      <c r="I31" s="236"/>
      <c r="J31" s="236"/>
      <c r="K31" s="317"/>
      <c r="L31" s="317"/>
      <c r="M31" s="317"/>
      <c r="N31" s="263"/>
      <c r="O31" s="154" t="s">
        <v>163</v>
      </c>
      <c r="P31" s="484">
        <v>706</v>
      </c>
      <c r="Q31" s="550" t="s">
        <v>91</v>
      </c>
      <c r="S31" s="550">
        <v>1736</v>
      </c>
      <c r="T31" s="550" t="s">
        <v>91</v>
      </c>
    </row>
    <row r="32" spans="1:20" ht="18.75" customHeight="1" thickBot="1">
      <c r="A32" s="552">
        <f t="shared" si="1"/>
        <v>323</v>
      </c>
      <c r="B32" s="236"/>
      <c r="C32" s="236"/>
      <c r="D32" s="317"/>
      <c r="E32" s="317"/>
      <c r="F32" s="236" t="s">
        <v>100</v>
      </c>
      <c r="G32" s="236"/>
      <c r="H32" s="235"/>
      <c r="I32" s="235"/>
      <c r="J32" s="89"/>
      <c r="K32" s="375"/>
      <c r="L32" s="375"/>
      <c r="M32" s="375"/>
      <c r="N32" s="90"/>
      <c r="O32" s="154" t="s">
        <v>164</v>
      </c>
      <c r="P32" s="484">
        <v>706</v>
      </c>
      <c r="Q32" s="550" t="s">
        <v>92</v>
      </c>
      <c r="S32" s="550">
        <v>1736</v>
      </c>
      <c r="T32" s="550" t="s">
        <v>92</v>
      </c>
    </row>
    <row r="33" spans="1:20" ht="18.75" customHeight="1" thickBot="1">
      <c r="A33" s="556">
        <f t="shared" si="1"/>
        <v>324</v>
      </c>
      <c r="B33" s="236"/>
      <c r="C33" s="236"/>
      <c r="D33" s="317"/>
      <c r="E33" s="317"/>
      <c r="F33" s="236"/>
      <c r="G33" s="236" t="s">
        <v>100</v>
      </c>
      <c r="H33" s="193" t="s">
        <v>203</v>
      </c>
      <c r="I33" s="109" t="s">
        <v>149</v>
      </c>
      <c r="J33" s="108" t="str">
        <f>表頭!L8</f>
        <v>0.12</v>
      </c>
      <c r="K33" s="108"/>
      <c r="L33" s="108"/>
      <c r="M33" s="108"/>
      <c r="N33" s="113" t="s">
        <v>150</v>
      </c>
      <c r="O33" s="154" t="s">
        <v>165</v>
      </c>
      <c r="P33" s="484">
        <v>706</v>
      </c>
      <c r="Q33" s="550" t="s">
        <v>93</v>
      </c>
      <c r="S33" s="550">
        <v>1736</v>
      </c>
      <c r="T33" s="550" t="s">
        <v>93</v>
      </c>
    </row>
    <row r="34" spans="1:20" ht="16.5" customHeight="1">
      <c r="A34" s="260" t="s">
        <v>120</v>
      </c>
      <c r="B34" s="236"/>
      <c r="C34" s="236"/>
      <c r="D34" s="317"/>
      <c r="E34" s="317"/>
      <c r="F34" s="236"/>
      <c r="G34" s="236"/>
      <c r="H34" s="236"/>
      <c r="I34" s="236"/>
      <c r="J34" s="153"/>
      <c r="K34" s="374"/>
      <c r="L34" s="374"/>
      <c r="M34" s="374"/>
      <c r="N34" s="87"/>
      <c r="O34" s="70"/>
      <c r="P34" s="248"/>
    </row>
    <row r="35" spans="1:20" ht="16.5" customHeight="1" thickBot="1">
      <c r="A35" s="262" t="s">
        <v>121</v>
      </c>
      <c r="B35" s="269"/>
      <c r="C35" s="269"/>
      <c r="D35" s="318"/>
      <c r="E35" s="318"/>
      <c r="F35" s="269"/>
      <c r="G35" s="270"/>
      <c r="H35" s="271"/>
      <c r="I35" s="271"/>
      <c r="J35" s="272"/>
      <c r="K35" s="376"/>
      <c r="L35" s="376"/>
      <c r="M35" s="376"/>
      <c r="N35" s="273"/>
      <c r="O35" s="274"/>
      <c r="P35" s="117"/>
    </row>
    <row r="36" spans="1:20" ht="17.25" thickBot="1">
      <c r="A36" s="264"/>
      <c r="B36" s="265"/>
      <c r="C36" s="747" t="s">
        <v>131</v>
      </c>
      <c r="D36" s="748"/>
      <c r="E36" s="748"/>
      <c r="F36" s="749"/>
      <c r="G36" s="750"/>
      <c r="H36" s="751"/>
      <c r="I36" s="265"/>
      <c r="J36" s="266"/>
      <c r="K36" s="266"/>
      <c r="L36" s="266"/>
      <c r="M36" s="266"/>
      <c r="N36" s="267"/>
      <c r="O36" s="115"/>
      <c r="P36" s="115"/>
    </row>
    <row r="37" spans="1:20" ht="17.25" thickBot="1">
      <c r="A37" s="714" t="s">
        <v>129</v>
      </c>
      <c r="B37" s="646"/>
      <c r="C37" s="99">
        <v>100</v>
      </c>
      <c r="D37" s="524" t="s">
        <v>128</v>
      </c>
      <c r="E37" s="319">
        <v>100</v>
      </c>
      <c r="F37" s="508"/>
      <c r="G37" s="297" t="s">
        <v>132</v>
      </c>
      <c r="H37" s="298"/>
      <c r="I37" s="662" t="s">
        <v>122</v>
      </c>
      <c r="J37" s="663"/>
      <c r="K37" s="663"/>
      <c r="L37" s="663"/>
      <c r="M37" s="663"/>
      <c r="N37" s="664"/>
      <c r="O37" s="77">
        <v>70</v>
      </c>
      <c r="P37" s="77"/>
    </row>
    <row r="38" spans="1:20" ht="17.25" thickBot="1">
      <c r="A38" s="715" t="s">
        <v>312</v>
      </c>
      <c r="B38" s="716"/>
      <c r="C38" s="525" t="s">
        <v>130</v>
      </c>
      <c r="D38" s="322">
        <v>46</v>
      </c>
      <c r="E38" s="323" t="s">
        <v>127</v>
      </c>
      <c r="F38" s="504">
        <v>22</v>
      </c>
      <c r="G38" s="155" t="s">
        <v>128</v>
      </c>
      <c r="H38" s="505">
        <v>32</v>
      </c>
      <c r="I38" s="754" t="s">
        <v>123</v>
      </c>
      <c r="J38" s="691"/>
      <c r="K38" s="691"/>
      <c r="L38" s="691"/>
      <c r="M38" s="691"/>
      <c r="N38" s="692"/>
      <c r="O38" s="530">
        <v>0.1</v>
      </c>
      <c r="P38" s="538"/>
    </row>
    <row r="39" spans="1:20" ht="17.25" thickBot="1">
      <c r="A39" s="714" t="s">
        <v>129</v>
      </c>
      <c r="B39" s="717"/>
      <c r="C39" s="99">
        <v>100</v>
      </c>
      <c r="D39" s="524" t="s">
        <v>128</v>
      </c>
      <c r="E39" s="319">
        <v>100</v>
      </c>
      <c r="F39" s="508"/>
      <c r="G39" s="297" t="s">
        <v>132</v>
      </c>
      <c r="H39" s="509"/>
      <c r="I39" s="754" t="s">
        <v>91</v>
      </c>
      <c r="J39" s="691"/>
      <c r="K39" s="691"/>
      <c r="L39" s="691"/>
      <c r="M39" s="691"/>
      <c r="N39" s="692"/>
      <c r="O39" s="289">
        <v>0.17544899999999999</v>
      </c>
      <c r="P39" s="538"/>
    </row>
    <row r="40" spans="1:20" ht="17.25" thickBot="1">
      <c r="A40" s="718" t="s">
        <v>313</v>
      </c>
      <c r="B40" s="719"/>
      <c r="C40" s="525" t="s">
        <v>130</v>
      </c>
      <c r="D40" s="322">
        <v>46</v>
      </c>
      <c r="E40" s="323" t="s">
        <v>127</v>
      </c>
      <c r="F40" s="504">
        <v>36</v>
      </c>
      <c r="G40" s="155" t="s">
        <v>128</v>
      </c>
      <c r="H40" s="505">
        <v>36</v>
      </c>
      <c r="I40" s="744" t="s">
        <v>92</v>
      </c>
      <c r="J40" s="745"/>
      <c r="K40" s="745"/>
      <c r="L40" s="745"/>
      <c r="M40" s="745"/>
      <c r="N40" s="746"/>
      <c r="O40" s="289">
        <v>0.196245</v>
      </c>
      <c r="P40" s="538"/>
    </row>
    <row r="41" spans="1:20" ht="17.25" thickBot="1">
      <c r="A41" s="700" t="s">
        <v>129</v>
      </c>
      <c r="B41" s="701"/>
      <c r="C41" s="99">
        <v>100</v>
      </c>
      <c r="D41" s="524" t="s">
        <v>128</v>
      </c>
      <c r="E41" s="319">
        <v>100</v>
      </c>
      <c r="F41" s="508"/>
      <c r="G41" s="297" t="s">
        <v>132</v>
      </c>
      <c r="H41" s="509"/>
      <c r="I41" s="752" t="s">
        <v>124</v>
      </c>
      <c r="J41" s="752"/>
      <c r="K41" s="752"/>
      <c r="L41" s="752"/>
      <c r="M41" s="752"/>
      <c r="N41" s="753"/>
      <c r="O41" s="530">
        <v>0.21260299999999999</v>
      </c>
      <c r="P41" s="538"/>
    </row>
    <row r="42" spans="1:20" ht="17.25" thickBot="1">
      <c r="A42" s="698" t="s">
        <v>238</v>
      </c>
      <c r="B42" s="699"/>
      <c r="C42" s="525" t="s">
        <v>130</v>
      </c>
      <c r="D42" s="322">
        <v>46</v>
      </c>
      <c r="E42" s="323" t="s">
        <v>127</v>
      </c>
      <c r="F42" s="502">
        <v>80</v>
      </c>
      <c r="G42" s="155" t="s">
        <v>128</v>
      </c>
      <c r="H42" s="503">
        <v>80</v>
      </c>
      <c r="I42" s="63"/>
      <c r="J42" s="59"/>
      <c r="K42" s="59"/>
      <c r="L42" s="59"/>
      <c r="M42" s="59"/>
      <c r="N42" s="59"/>
      <c r="O42" s="59"/>
      <c r="P42" s="68"/>
    </row>
    <row r="43" spans="1:20">
      <c r="A43" s="158" t="s">
        <v>254</v>
      </c>
      <c r="G43" s="58"/>
      <c r="H43" s="58"/>
      <c r="I43" s="58"/>
      <c r="J43" s="58"/>
      <c r="K43" s="58"/>
      <c r="L43" s="58"/>
      <c r="M43" s="58"/>
      <c r="N43" s="58"/>
      <c r="O43" s="58"/>
      <c r="P43" s="71" t="s">
        <v>125</v>
      </c>
    </row>
    <row r="44" spans="1:20">
      <c r="A44" s="537"/>
    </row>
    <row r="45" spans="1:20" ht="19.5">
      <c r="A45" s="240"/>
    </row>
    <row r="46" spans="1:20" ht="19.5">
      <c r="A46" s="258"/>
    </row>
  </sheetData>
  <mergeCells count="36">
    <mergeCell ref="I40:N40"/>
    <mergeCell ref="C36:E36"/>
    <mergeCell ref="F36:H36"/>
    <mergeCell ref="A38:B38"/>
    <mergeCell ref="A42:B42"/>
    <mergeCell ref="A40:B40"/>
    <mergeCell ref="I41:N41"/>
    <mergeCell ref="I38:N38"/>
    <mergeCell ref="I39:N39"/>
    <mergeCell ref="I37:N37"/>
    <mergeCell ref="A41:B41"/>
    <mergeCell ref="A37:B37"/>
    <mergeCell ref="A39:B39"/>
    <mergeCell ref="E30:G30"/>
    <mergeCell ref="J3:N3"/>
    <mergeCell ref="G5:H5"/>
    <mergeCell ref="J1:O1"/>
    <mergeCell ref="A2:B2"/>
    <mergeCell ref="C2:F2"/>
    <mergeCell ref="G2:H2"/>
    <mergeCell ref="J2:P2"/>
    <mergeCell ref="A4:B4"/>
    <mergeCell ref="C4:F4"/>
    <mergeCell ref="G4:H4"/>
    <mergeCell ref="J4:P4"/>
    <mergeCell ref="A3:B3"/>
    <mergeCell ref="C3:F3"/>
    <mergeCell ref="G3:H3"/>
    <mergeCell ref="O3:P3"/>
    <mergeCell ref="B1:E1"/>
    <mergeCell ref="A5:B5"/>
    <mergeCell ref="C5:F5"/>
    <mergeCell ref="J5:P5"/>
    <mergeCell ref="O7:O9"/>
    <mergeCell ref="P7:P9"/>
    <mergeCell ref="M7:M9"/>
  </mergeCells>
  <phoneticPr fontId="11" type="noConversion"/>
  <pageMargins left="0.25" right="0.25" top="0.75" bottom="0.75" header="0.3" footer="0.3"/>
  <pageSetup paperSize="9" scale="79" orientation="portrait" r:id="rId1"/>
  <rowBreaks count="1" manualBreakCount="1">
    <brk id="29" max="16383" man="1"/>
  </rowBreaks>
  <extLst>
    <ext xmlns:x14="http://schemas.microsoft.com/office/spreadsheetml/2009/9/main" uri="{CCE6A557-97BC-4b89-ADB6-D9C93CAAB3DF}">
      <x14:dataValidations xmlns:xm="http://schemas.microsoft.com/office/excel/2006/main" count="4">
        <x14:dataValidation type="list" allowBlank="1" showInputMessage="1" showErrorMessage="1" xr:uid="{63EB6AF3-A34B-4BFB-8C6C-0EC8DB45662D}">
          <x14:formula1>
            <xm:f>'70-30L'!$Y$4:$Y$11</xm:f>
          </x14:formula1>
          <xm:sqref>O28</xm:sqref>
        </x14:dataValidation>
        <x14:dataValidation type="list" allowBlank="1" showInputMessage="1" showErrorMessage="1" xr:uid="{469DBDA3-9FE6-4A8F-91C1-70EF0829D67B}">
          <x14:formula1>
            <xm:f>'70-30L'!$AL$4:$AL$5</xm:f>
          </x14:formula1>
          <xm:sqref>O12</xm:sqref>
        </x14:dataValidation>
        <x14:dataValidation type="list" allowBlank="1" showInputMessage="1" showErrorMessage="1" xr:uid="{238BBB7F-F53A-4A3F-A7B0-304E17EFF623}">
          <x14:formula1>
            <xm:f>'70-30L'!$AY$4:$AY$5</xm:f>
          </x14:formula1>
          <xm:sqref>O20</xm:sqref>
        </x14:dataValidation>
        <x14:dataValidation type="list" allowBlank="1" showInputMessage="1" showErrorMessage="1" xr:uid="{D27568B6-9644-4C7D-A054-B32062C0E05D}">
          <x14:formula1>
            <xm:f>'70-30L'!$L$4:$L$12</xm:f>
          </x14:formula1>
          <xm:sqref>O13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rgb="FFFF0000"/>
    <pageSetUpPr fitToPage="1"/>
  </sheetPr>
  <dimension ref="A1:O70"/>
  <sheetViews>
    <sheetView tabSelected="1" view="pageBreakPreview" topLeftCell="A9" zoomScale="60" zoomScaleNormal="70" workbookViewId="0">
      <selection activeCell="N36" sqref="N36:O36"/>
    </sheetView>
  </sheetViews>
  <sheetFormatPr defaultRowHeight="16.5"/>
  <cols>
    <col min="1" max="1" width="4.625" style="57" customWidth="1"/>
    <col min="2" max="2" width="6.625" style="1" customWidth="1"/>
    <col min="3" max="3" width="13" style="1" customWidth="1"/>
    <col min="4" max="4" width="32.875" style="1" bestFit="1" customWidth="1"/>
    <col min="5" max="5" width="8.75" style="1" bestFit="1" customWidth="1"/>
    <col min="6" max="6" width="4.5" style="1" customWidth="1"/>
    <col min="7" max="7" width="5.375" style="1" customWidth="1"/>
    <col min="8" max="8" width="4.5" style="1" customWidth="1"/>
    <col min="9" max="9" width="6.125" style="1" customWidth="1"/>
    <col min="10" max="12" width="4.5" style="1" customWidth="1"/>
    <col min="13" max="13" width="11.625" style="2" customWidth="1"/>
    <col min="14" max="15" width="4.5" style="2" customWidth="1"/>
  </cols>
  <sheetData>
    <row r="1" spans="1:15" ht="38.1" customHeight="1">
      <c r="A1" s="790" t="s">
        <v>47</v>
      </c>
      <c r="B1" s="790"/>
      <c r="C1" s="790"/>
      <c r="D1" s="790"/>
      <c r="E1" s="790"/>
      <c r="F1" s="790"/>
      <c r="G1" s="790"/>
      <c r="H1" s="790"/>
      <c r="I1" s="790"/>
      <c r="J1" s="790"/>
      <c r="K1" s="790"/>
      <c r="L1" s="790"/>
      <c r="M1" s="790"/>
      <c r="N1" s="790"/>
      <c r="O1" s="790"/>
    </row>
    <row r="2" spans="1:15" ht="15" customHeight="1">
      <c r="A2" s="791" t="s">
        <v>48</v>
      </c>
      <c r="B2" s="791"/>
      <c r="C2" s="128" t="str">
        <f>表頭!B3</f>
        <v>WD-2601007</v>
      </c>
      <c r="D2" s="17"/>
      <c r="E2" s="17"/>
      <c r="F2" s="17"/>
      <c r="G2" s="17"/>
      <c r="H2" s="17"/>
      <c r="I2" s="16" t="s">
        <v>39</v>
      </c>
      <c r="J2" s="796" t="str">
        <f>LIST!F1</f>
        <v>景碩科技 清華廠</v>
      </c>
      <c r="K2" s="796"/>
      <c r="L2" s="796"/>
      <c r="M2" s="796"/>
      <c r="N2" s="796"/>
      <c r="O2" s="796"/>
    </row>
    <row r="3" spans="1:15" ht="15" customHeight="1">
      <c r="A3" s="791" t="s">
        <v>49</v>
      </c>
      <c r="B3" s="791"/>
      <c r="C3" s="128" t="str">
        <f>表頭!B4</f>
        <v>Q59-859-1(2+4W)</v>
      </c>
      <c r="D3" s="51"/>
      <c r="E3" s="51"/>
      <c r="F3" s="51"/>
      <c r="G3" s="51"/>
      <c r="H3" s="51"/>
      <c r="I3" s="51"/>
      <c r="J3" s="51"/>
      <c r="K3" s="10" t="s">
        <v>50</v>
      </c>
      <c r="L3" s="51"/>
      <c r="N3" s="10"/>
      <c r="O3" s="10"/>
    </row>
    <row r="4" spans="1:15" ht="5.25" customHeight="1" thickBot="1">
      <c r="A4" s="792"/>
      <c r="B4" s="792"/>
      <c r="C4" s="792"/>
      <c r="D4" s="792"/>
      <c r="E4" s="792"/>
      <c r="F4" s="792"/>
      <c r="G4" s="792"/>
      <c r="H4" s="792"/>
      <c r="I4" s="792"/>
      <c r="J4" s="792"/>
      <c r="K4" s="792"/>
      <c r="L4" s="792"/>
      <c r="M4" s="792"/>
      <c r="N4" s="792"/>
      <c r="O4" s="792"/>
    </row>
    <row r="5" spans="1:15" ht="15" customHeight="1" thickBot="1">
      <c r="A5" s="13" t="s">
        <v>51</v>
      </c>
      <c r="B5" s="636" t="s">
        <v>52</v>
      </c>
      <c r="C5" s="637"/>
      <c r="D5" s="18" t="s">
        <v>53</v>
      </c>
      <c r="E5" s="636"/>
      <c r="F5" s="642"/>
      <c r="G5" s="642"/>
      <c r="H5" s="642"/>
      <c r="I5" s="642"/>
      <c r="J5" s="642"/>
      <c r="K5" s="642"/>
      <c r="L5" s="793"/>
      <c r="M5" s="118" t="s">
        <v>54</v>
      </c>
      <c r="N5" s="794" t="s">
        <v>146</v>
      </c>
      <c r="O5" s="795"/>
    </row>
    <row r="6" spans="1:15" ht="15" customHeight="1" thickBot="1">
      <c r="A6" s="123"/>
      <c r="B6" s="802" t="s">
        <v>55</v>
      </c>
      <c r="C6" s="803"/>
      <c r="D6" s="799"/>
      <c r="E6" s="800"/>
      <c r="F6" s="800"/>
      <c r="G6" s="800"/>
      <c r="H6" s="800"/>
      <c r="I6" s="800"/>
      <c r="J6" s="800"/>
      <c r="K6" s="800"/>
      <c r="L6" s="800"/>
      <c r="M6" s="800"/>
      <c r="N6" s="800"/>
      <c r="O6" s="801"/>
    </row>
    <row r="7" spans="1:15" ht="15" customHeight="1" thickBot="1">
      <c r="A7" s="314" t="s">
        <v>56</v>
      </c>
      <c r="B7" s="797" t="s">
        <v>134</v>
      </c>
      <c r="C7" s="798"/>
      <c r="D7" s="427" t="str">
        <f>'top-nc'!B7</f>
        <v>SCM8000</v>
      </c>
      <c r="E7" s="428">
        <f>'top-nc'!B8</f>
        <v>1.5</v>
      </c>
      <c r="F7" s="429" t="s">
        <v>133</v>
      </c>
      <c r="G7" s="430">
        <v>14</v>
      </c>
      <c r="H7" s="431" t="s">
        <v>128</v>
      </c>
      <c r="I7" s="432">
        <v>28</v>
      </c>
      <c r="J7" s="778"/>
      <c r="K7" s="779"/>
      <c r="L7" s="779"/>
      <c r="M7" s="433" t="s">
        <v>57</v>
      </c>
      <c r="N7" s="788">
        <v>1</v>
      </c>
      <c r="O7" s="789"/>
    </row>
    <row r="8" spans="1:15" ht="15" customHeight="1" thickBot="1">
      <c r="A8" s="315">
        <f>A7+1</f>
        <v>2</v>
      </c>
      <c r="B8" s="780" t="s">
        <v>135</v>
      </c>
      <c r="C8" s="781"/>
      <c r="D8" s="434" t="str">
        <f>'top-nc'!C7</f>
        <v>SCM8000</v>
      </c>
      <c r="E8" s="435">
        <f>'top-nc'!C8</f>
        <v>1</v>
      </c>
      <c r="F8" s="424" t="s">
        <v>133</v>
      </c>
      <c r="G8" s="436">
        <f>G7</f>
        <v>14</v>
      </c>
      <c r="H8" s="431" t="s">
        <v>128</v>
      </c>
      <c r="I8" s="428">
        <f>I7</f>
        <v>28</v>
      </c>
      <c r="J8" s="782"/>
      <c r="K8" s="783"/>
      <c r="L8" s="783"/>
      <c r="M8" s="295" t="s">
        <v>57</v>
      </c>
      <c r="N8" s="763">
        <v>1</v>
      </c>
      <c r="O8" s="764"/>
    </row>
    <row r="9" spans="1:15" ht="15" customHeight="1" thickBot="1">
      <c r="A9" s="315">
        <f>A8+1</f>
        <v>3</v>
      </c>
      <c r="B9" s="780" t="s">
        <v>136</v>
      </c>
      <c r="C9" s="781"/>
      <c r="D9" s="434" t="str">
        <f>'top-nc'!D7</f>
        <v>SCM8000</v>
      </c>
      <c r="E9" s="437">
        <f>'top-nc'!D8</f>
        <v>0.8</v>
      </c>
      <c r="F9" s="424" t="s">
        <v>133</v>
      </c>
      <c r="G9" s="436">
        <f>G7</f>
        <v>14</v>
      </c>
      <c r="H9" s="431" t="s">
        <v>128</v>
      </c>
      <c r="I9" s="428">
        <f>I7</f>
        <v>28</v>
      </c>
      <c r="J9" s="782"/>
      <c r="K9" s="783"/>
      <c r="L9" s="783"/>
      <c r="M9" s="295" t="s">
        <v>57</v>
      </c>
      <c r="N9" s="763">
        <v>1</v>
      </c>
      <c r="O9" s="764"/>
    </row>
    <row r="10" spans="1:15" ht="15" customHeight="1" thickBot="1">
      <c r="A10" s="315">
        <f t="shared" ref="A10:A33" si="0">A9+1</f>
        <v>4</v>
      </c>
      <c r="B10" s="780" t="s">
        <v>137</v>
      </c>
      <c r="C10" s="781"/>
      <c r="D10" s="434" t="str">
        <f>'top-nc'!E7</f>
        <v>R8220</v>
      </c>
      <c r="E10" s="437">
        <f>'top-nc'!E8</f>
        <v>1.5</v>
      </c>
      <c r="F10" s="424" t="s">
        <v>133</v>
      </c>
      <c r="G10" s="430">
        <v>36</v>
      </c>
      <c r="H10" s="431" t="s">
        <v>128</v>
      </c>
      <c r="I10" s="432">
        <v>36</v>
      </c>
      <c r="J10" s="782"/>
      <c r="K10" s="783"/>
      <c r="L10" s="783"/>
      <c r="M10" s="295" t="s">
        <v>57</v>
      </c>
      <c r="N10" s="763">
        <v>1</v>
      </c>
      <c r="O10" s="764"/>
    </row>
    <row r="11" spans="1:15" ht="15" customHeight="1" thickBot="1">
      <c r="A11" s="315">
        <f t="shared" si="0"/>
        <v>5</v>
      </c>
      <c r="B11" s="780" t="s">
        <v>138</v>
      </c>
      <c r="C11" s="781"/>
      <c r="D11" s="434" t="str">
        <f>'top-nc'!F7</f>
        <v>R8220</v>
      </c>
      <c r="E11" s="437">
        <f>'top-nc'!F8</f>
        <v>3</v>
      </c>
      <c r="F11" s="424" t="s">
        <v>133</v>
      </c>
      <c r="G11" s="436">
        <f>G10</f>
        <v>36</v>
      </c>
      <c r="H11" s="438" t="s">
        <v>128</v>
      </c>
      <c r="I11" s="428">
        <f>I10</f>
        <v>36</v>
      </c>
      <c r="J11" s="782"/>
      <c r="K11" s="783"/>
      <c r="L11" s="783"/>
      <c r="M11" s="295" t="s">
        <v>57</v>
      </c>
      <c r="N11" s="763">
        <v>1</v>
      </c>
      <c r="O11" s="764"/>
    </row>
    <row r="12" spans="1:15" ht="15" customHeight="1" thickBot="1">
      <c r="A12" s="534">
        <f t="shared" si="0"/>
        <v>6</v>
      </c>
      <c r="B12" s="780" t="s">
        <v>185</v>
      </c>
      <c r="C12" s="781"/>
      <c r="D12" s="434" t="str">
        <f>'top-nc'!G7</f>
        <v>R8220</v>
      </c>
      <c r="E12" s="437">
        <f>'top-nc'!G8</f>
        <v>1.5</v>
      </c>
      <c r="F12" s="424" t="s">
        <v>133</v>
      </c>
      <c r="G12" s="436">
        <f>G11</f>
        <v>36</v>
      </c>
      <c r="H12" s="438" t="s">
        <v>128</v>
      </c>
      <c r="I12" s="428">
        <f>I11</f>
        <v>36</v>
      </c>
      <c r="J12" s="782"/>
      <c r="K12" s="783"/>
      <c r="L12" s="783"/>
      <c r="M12" s="295" t="s">
        <v>57</v>
      </c>
      <c r="N12" s="763">
        <v>1</v>
      </c>
      <c r="O12" s="764"/>
    </row>
    <row r="13" spans="1:15" ht="15" customHeight="1" thickBot="1">
      <c r="A13" s="534">
        <f t="shared" si="0"/>
        <v>7</v>
      </c>
      <c r="B13" s="780" t="s">
        <v>139</v>
      </c>
      <c r="C13" s="781"/>
      <c r="D13" s="434" t="str">
        <f>'top-nc'!H7</f>
        <v>R8220</v>
      </c>
      <c r="E13" s="437">
        <f>'top-nc'!H8</f>
        <v>1.5</v>
      </c>
      <c r="F13" s="424" t="s">
        <v>133</v>
      </c>
      <c r="G13" s="436">
        <f>G12</f>
        <v>36</v>
      </c>
      <c r="H13" s="438" t="s">
        <v>128</v>
      </c>
      <c r="I13" s="428">
        <f>I12</f>
        <v>36</v>
      </c>
      <c r="J13" s="782"/>
      <c r="K13" s="783"/>
      <c r="L13" s="783"/>
      <c r="M13" s="295" t="s">
        <v>57</v>
      </c>
      <c r="N13" s="763">
        <v>1</v>
      </c>
      <c r="O13" s="764"/>
    </row>
    <row r="14" spans="1:15" ht="15" customHeight="1" thickBot="1">
      <c r="A14" s="534">
        <f t="shared" si="0"/>
        <v>8</v>
      </c>
      <c r="B14" s="780" t="s">
        <v>140</v>
      </c>
      <c r="C14" s="781"/>
      <c r="D14" s="434" t="str">
        <f>'top-nc'!I7</f>
        <v>R8220</v>
      </c>
      <c r="E14" s="437">
        <f>'top-nc'!I8</f>
        <v>5</v>
      </c>
      <c r="F14" s="424" t="s">
        <v>133</v>
      </c>
      <c r="G14" s="436">
        <f>G13</f>
        <v>36</v>
      </c>
      <c r="H14" s="438" t="s">
        <v>128</v>
      </c>
      <c r="I14" s="428">
        <f>I13</f>
        <v>36</v>
      </c>
      <c r="J14" s="782"/>
      <c r="K14" s="783"/>
      <c r="L14" s="783"/>
      <c r="M14" s="295" t="s">
        <v>57</v>
      </c>
      <c r="N14" s="763">
        <v>1</v>
      </c>
      <c r="O14" s="764"/>
    </row>
    <row r="15" spans="1:15" ht="15" customHeight="1" thickBot="1">
      <c r="A15" s="534">
        <f t="shared" si="0"/>
        <v>9</v>
      </c>
      <c r="B15" s="780" t="s">
        <v>188</v>
      </c>
      <c r="C15" s="781"/>
      <c r="D15" s="434" t="str">
        <f>'top-nc'!J7</f>
        <v>FR4</v>
      </c>
      <c r="E15" s="437">
        <f>'top-nc'!J8</f>
        <v>1</v>
      </c>
      <c r="F15" s="424" t="s">
        <v>133</v>
      </c>
      <c r="G15" s="430">
        <v>36</v>
      </c>
      <c r="H15" s="431" t="s">
        <v>128</v>
      </c>
      <c r="I15" s="432">
        <v>36</v>
      </c>
      <c r="J15" s="782"/>
      <c r="K15" s="783"/>
      <c r="L15" s="783"/>
      <c r="M15" s="295" t="s">
        <v>57</v>
      </c>
      <c r="N15" s="763">
        <v>1</v>
      </c>
      <c r="O15" s="764"/>
    </row>
    <row r="16" spans="1:15" ht="15" customHeight="1">
      <c r="A16" s="534">
        <f t="shared" si="0"/>
        <v>10</v>
      </c>
      <c r="B16" s="780" t="s">
        <v>141</v>
      </c>
      <c r="C16" s="781"/>
      <c r="D16" s="434" t="str">
        <f>'top-nc'!K7</f>
        <v>FR4</v>
      </c>
      <c r="E16" s="439">
        <f>'top-nc'!K8</f>
        <v>10</v>
      </c>
      <c r="F16" s="424" t="s">
        <v>133</v>
      </c>
      <c r="G16" s="440">
        <f>'top-nc'!F46</f>
        <v>80</v>
      </c>
      <c r="H16" s="438" t="s">
        <v>128</v>
      </c>
      <c r="I16" s="428">
        <f>'top-nc'!I46</f>
        <v>80</v>
      </c>
      <c r="J16" s="782"/>
      <c r="K16" s="783"/>
      <c r="L16" s="783"/>
      <c r="M16" s="295" t="s">
        <v>13</v>
      </c>
      <c r="N16" s="763">
        <v>1</v>
      </c>
      <c r="O16" s="764"/>
    </row>
    <row r="17" spans="1:15" ht="15" customHeight="1">
      <c r="A17" s="534">
        <f t="shared" si="0"/>
        <v>11</v>
      </c>
      <c r="B17" s="780"/>
      <c r="C17" s="781"/>
      <c r="D17" s="425" t="s">
        <v>59</v>
      </c>
      <c r="E17" s="784" t="str">
        <f>'top-nc'!K25</f>
        <v>M3襯套</v>
      </c>
      <c r="F17" s="785"/>
      <c r="G17" s="785"/>
      <c r="H17" s="785"/>
      <c r="I17" s="785"/>
      <c r="J17" s="785"/>
      <c r="K17" s="785"/>
      <c r="L17" s="786"/>
      <c r="M17" s="455" t="s">
        <v>60</v>
      </c>
      <c r="N17" s="787">
        <f>'top-nc'!Q25</f>
        <v>4</v>
      </c>
      <c r="O17" s="772"/>
    </row>
    <row r="18" spans="1:15" ht="15" customHeight="1">
      <c r="A18" s="534">
        <f t="shared" si="0"/>
        <v>12</v>
      </c>
      <c r="B18" s="478"/>
      <c r="C18" s="291">
        <v>15040002</v>
      </c>
      <c r="D18" s="293" t="s">
        <v>225</v>
      </c>
      <c r="E18" s="765" t="s">
        <v>226</v>
      </c>
      <c r="F18" s="766"/>
      <c r="G18" s="766"/>
      <c r="H18" s="766"/>
      <c r="I18" s="766"/>
      <c r="J18" s="766"/>
      <c r="K18" s="766"/>
      <c r="L18" s="766"/>
      <c r="M18" s="295" t="s">
        <v>21</v>
      </c>
      <c r="N18" s="771">
        <f>'top-nc'!Q15</f>
        <v>2</v>
      </c>
      <c r="O18" s="772"/>
    </row>
    <row r="19" spans="1:15" ht="15" customHeight="1">
      <c r="A19" s="534">
        <f t="shared" si="0"/>
        <v>13</v>
      </c>
      <c r="B19" s="874"/>
      <c r="C19" s="875"/>
      <c r="D19" s="442" t="str">
        <f>'top-nc'!P12</f>
        <v>AF定位PIN-2.0</v>
      </c>
      <c r="E19" s="442" t="s">
        <v>41</v>
      </c>
      <c r="F19" s="769">
        <f>'top-nc'!L12</f>
        <v>2</v>
      </c>
      <c r="G19" s="770"/>
      <c r="H19" s="442" t="s">
        <v>142</v>
      </c>
      <c r="I19" s="823">
        <f>'top-nc'!M12</f>
        <v>19</v>
      </c>
      <c r="J19" s="824"/>
      <c r="K19" s="442" t="s">
        <v>143</v>
      </c>
      <c r="L19" s="443"/>
      <c r="M19" s="455" t="s">
        <v>21</v>
      </c>
      <c r="N19" s="771">
        <f>'top-nc'!Q12</f>
        <v>4</v>
      </c>
      <c r="O19" s="772"/>
    </row>
    <row r="20" spans="1:15" ht="15" customHeight="1">
      <c r="A20" s="534">
        <f t="shared" si="0"/>
        <v>14</v>
      </c>
      <c r="B20" s="478"/>
      <c r="C20" s="291"/>
      <c r="D20" s="442" t="str">
        <f>'top-nc'!P14</f>
        <v>CD支柱-3.0</v>
      </c>
      <c r="E20" s="442" t="s">
        <v>41</v>
      </c>
      <c r="F20" s="444">
        <f>'top-nc'!L14</f>
        <v>3</v>
      </c>
      <c r="G20" s="442" t="s">
        <v>142</v>
      </c>
      <c r="H20" s="769">
        <f>'top-nc'!M14</f>
        <v>9.1</v>
      </c>
      <c r="I20" s="770"/>
      <c r="J20" s="442" t="s">
        <v>143</v>
      </c>
      <c r="K20" s="757"/>
      <c r="L20" s="758"/>
      <c r="M20" s="455" t="s">
        <v>21</v>
      </c>
      <c r="N20" s="838">
        <f>'top-nc'!Q14</f>
        <v>6</v>
      </c>
      <c r="O20" s="811"/>
    </row>
    <row r="21" spans="1:15" ht="15" customHeight="1">
      <c r="A21" s="534">
        <f t="shared" si="0"/>
        <v>15</v>
      </c>
      <c r="B21" s="478"/>
      <c r="C21" s="291"/>
      <c r="D21" s="442" t="str">
        <f>'top-nc'!P30</f>
        <v>G支柱-3.5</v>
      </c>
      <c r="E21" s="442" t="s">
        <v>41</v>
      </c>
      <c r="F21" s="444">
        <f>'top-nc'!L30</f>
        <v>3</v>
      </c>
      <c r="G21" s="442" t="s">
        <v>142</v>
      </c>
      <c r="H21" s="776">
        <f>'top-nc'!M30</f>
        <v>75.3</v>
      </c>
      <c r="I21" s="775"/>
      <c r="J21" s="442" t="s">
        <v>214</v>
      </c>
      <c r="K21" s="769"/>
      <c r="L21" s="777"/>
      <c r="M21" s="455" t="s">
        <v>21</v>
      </c>
      <c r="N21" s="838">
        <f>'top-nc'!Q30</f>
        <v>4</v>
      </c>
      <c r="O21" s="811"/>
    </row>
    <row r="22" spans="1:15" ht="15" customHeight="1">
      <c r="A22" s="534">
        <f t="shared" si="0"/>
        <v>16</v>
      </c>
      <c r="B22" s="478"/>
      <c r="C22" s="291"/>
      <c r="D22" s="472" t="s">
        <v>301</v>
      </c>
      <c r="E22" s="776" t="str">
        <f>表頭!B8</f>
        <v>40N(3.5)</v>
      </c>
      <c r="F22" s="821"/>
      <c r="G22" s="821"/>
      <c r="H22" s="821"/>
      <c r="I22" s="821"/>
      <c r="J22" s="821"/>
      <c r="K22" s="821"/>
      <c r="L22" s="821"/>
      <c r="M22" s="455" t="s">
        <v>21</v>
      </c>
      <c r="N22" s="838">
        <f>表頭!C8</f>
        <v>2526</v>
      </c>
      <c r="O22" s="811"/>
    </row>
    <row r="23" spans="1:15" ht="15" customHeight="1">
      <c r="A23" s="534">
        <f t="shared" si="0"/>
        <v>17</v>
      </c>
      <c r="B23" s="478"/>
      <c r="C23" s="291"/>
      <c r="D23" s="293" t="s">
        <v>62</v>
      </c>
      <c r="E23" s="765" t="s">
        <v>144</v>
      </c>
      <c r="F23" s="766"/>
      <c r="G23" s="766"/>
      <c r="H23" s="766"/>
      <c r="I23" s="766"/>
      <c r="J23" s="766"/>
      <c r="K23" s="766"/>
      <c r="L23" s="766"/>
      <c r="M23" s="295" t="s">
        <v>21</v>
      </c>
      <c r="N23" s="773">
        <v>2526</v>
      </c>
      <c r="O23" s="774"/>
    </row>
    <row r="24" spans="1:15" ht="15" customHeight="1">
      <c r="A24" s="534">
        <f t="shared" si="0"/>
        <v>18</v>
      </c>
      <c r="B24" s="478"/>
      <c r="C24" s="291"/>
      <c r="D24" s="293" t="s">
        <v>63</v>
      </c>
      <c r="E24" s="293" t="s">
        <v>41</v>
      </c>
      <c r="F24" s="759" t="str">
        <f>表頭!J8</f>
        <v>0.06</v>
      </c>
      <c r="G24" s="775"/>
      <c r="H24" s="765" t="s">
        <v>145</v>
      </c>
      <c r="I24" s="766"/>
      <c r="J24" s="766"/>
      <c r="K24" s="766"/>
      <c r="L24" s="766"/>
      <c r="M24" s="295" t="s">
        <v>21</v>
      </c>
      <c r="N24" s="773">
        <v>2526</v>
      </c>
      <c r="O24" s="774"/>
    </row>
    <row r="25" spans="1:15" ht="15" customHeight="1">
      <c r="A25" s="534">
        <f t="shared" si="0"/>
        <v>19</v>
      </c>
      <c r="B25" s="478"/>
      <c r="C25" s="291"/>
      <c r="D25" s="293" t="s">
        <v>64</v>
      </c>
      <c r="E25" s="759" t="str">
        <f>表頭!I9</f>
        <v>DD(Full)</v>
      </c>
      <c r="F25" s="760"/>
      <c r="G25" s="760"/>
      <c r="H25" s="760"/>
      <c r="I25" s="760"/>
      <c r="J25" s="760"/>
      <c r="K25" s="760"/>
      <c r="L25" s="760"/>
      <c r="M25" s="455" t="s">
        <v>21</v>
      </c>
      <c r="N25" s="761" t="str">
        <f>表頭!J9</f>
        <v>1</v>
      </c>
      <c r="O25" s="762"/>
    </row>
    <row r="26" spans="1:15" s="539" customFormat="1" ht="15" customHeight="1">
      <c r="A26" s="534">
        <f t="shared" si="0"/>
        <v>20</v>
      </c>
      <c r="B26" s="545"/>
      <c r="C26" s="531"/>
      <c r="D26" s="532" t="s">
        <v>64</v>
      </c>
      <c r="E26" s="759" t="str">
        <f>表頭!I10</f>
        <v>DD(HALF)</v>
      </c>
      <c r="F26" s="760"/>
      <c r="G26" s="760"/>
      <c r="H26" s="760"/>
      <c r="I26" s="760"/>
      <c r="J26" s="760"/>
      <c r="K26" s="760"/>
      <c r="L26" s="760"/>
      <c r="M26" s="535" t="s">
        <v>21</v>
      </c>
      <c r="N26" s="761" t="str">
        <f>表頭!J10</f>
        <v>1</v>
      </c>
      <c r="O26" s="762"/>
    </row>
    <row r="27" spans="1:15">
      <c r="A27" s="534">
        <f t="shared" si="0"/>
        <v>21</v>
      </c>
      <c r="B27" s="526"/>
      <c r="C27" s="527">
        <v>15280030</v>
      </c>
      <c r="D27" s="528" t="s">
        <v>224</v>
      </c>
      <c r="E27" s="767" t="s">
        <v>299</v>
      </c>
      <c r="F27" s="768"/>
      <c r="G27" s="768"/>
      <c r="H27" s="768"/>
      <c r="I27" s="768"/>
      <c r="J27" s="768"/>
      <c r="K27" s="768"/>
      <c r="L27" s="768"/>
      <c r="M27" s="529" t="s">
        <v>65</v>
      </c>
      <c r="N27" s="839" t="s">
        <v>147</v>
      </c>
      <c r="O27" s="840"/>
    </row>
    <row r="28" spans="1:15" ht="15" customHeight="1">
      <c r="A28" s="534">
        <f t="shared" si="0"/>
        <v>22</v>
      </c>
      <c r="B28" s="479"/>
      <c r="C28" s="447">
        <v>15160024</v>
      </c>
      <c r="D28" s="445" t="s">
        <v>220</v>
      </c>
      <c r="E28" s="816" t="s">
        <v>221</v>
      </c>
      <c r="F28" s="817"/>
      <c r="G28" s="817"/>
      <c r="H28" s="817"/>
      <c r="I28" s="817"/>
      <c r="J28" s="817"/>
      <c r="K28" s="817"/>
      <c r="L28" s="817"/>
      <c r="M28" s="452" t="s">
        <v>218</v>
      </c>
      <c r="N28" s="817" t="s">
        <v>219</v>
      </c>
      <c r="O28" s="813"/>
    </row>
    <row r="29" spans="1:15" ht="15" customHeight="1">
      <c r="A29" s="534">
        <f t="shared" si="0"/>
        <v>23</v>
      </c>
      <c r="B29" s="479"/>
      <c r="C29" s="447">
        <v>15160022</v>
      </c>
      <c r="D29" s="445" t="s">
        <v>222</v>
      </c>
      <c r="E29" s="806" t="s">
        <v>223</v>
      </c>
      <c r="F29" s="807"/>
      <c r="G29" s="807"/>
      <c r="H29" s="807"/>
      <c r="I29" s="807"/>
      <c r="J29" s="807"/>
      <c r="K29" s="807"/>
      <c r="L29" s="807"/>
      <c r="M29" s="451" t="s">
        <v>218</v>
      </c>
      <c r="N29" s="817" t="s">
        <v>219</v>
      </c>
      <c r="O29" s="813"/>
    </row>
    <row r="30" spans="1:15" ht="15" customHeight="1">
      <c r="A30" s="534">
        <f t="shared" si="0"/>
        <v>24</v>
      </c>
      <c r="B30" s="546" t="s">
        <v>307</v>
      </c>
      <c r="C30" s="547">
        <v>15110002</v>
      </c>
      <c r="D30" s="548" t="s">
        <v>308</v>
      </c>
      <c r="E30" s="827" t="s">
        <v>309</v>
      </c>
      <c r="F30" s="828"/>
      <c r="G30" s="828"/>
      <c r="H30" s="828"/>
      <c r="I30" s="828"/>
      <c r="J30" s="828"/>
      <c r="K30" s="828"/>
      <c r="L30" s="828"/>
      <c r="M30" s="549" t="s">
        <v>65</v>
      </c>
      <c r="N30" s="825">
        <v>1</v>
      </c>
      <c r="O30" s="826"/>
    </row>
    <row r="31" spans="1:15" ht="15" customHeight="1">
      <c r="A31" s="534">
        <f t="shared" si="0"/>
        <v>25</v>
      </c>
      <c r="B31" s="830">
        <v>15060004</v>
      </c>
      <c r="C31" s="831"/>
      <c r="D31" s="445" t="s">
        <v>240</v>
      </c>
      <c r="E31" s="822" t="s">
        <v>241</v>
      </c>
      <c r="F31" s="822"/>
      <c r="G31" s="822"/>
      <c r="H31" s="822"/>
      <c r="I31" s="822"/>
      <c r="J31" s="822"/>
      <c r="K31" s="822"/>
      <c r="L31" s="816"/>
      <c r="M31" s="451" t="s">
        <v>65</v>
      </c>
      <c r="N31" s="817" t="s">
        <v>147</v>
      </c>
      <c r="O31" s="813"/>
    </row>
    <row r="32" spans="1:15" ht="15" customHeight="1" thickBot="1">
      <c r="A32" s="534">
        <f t="shared" si="0"/>
        <v>26</v>
      </c>
      <c r="B32" s="480"/>
      <c r="C32" s="453">
        <v>14115512</v>
      </c>
      <c r="D32" s="449" t="s">
        <v>269</v>
      </c>
      <c r="E32" s="849" t="s">
        <v>244</v>
      </c>
      <c r="F32" s="850"/>
      <c r="G32" s="850"/>
      <c r="H32" s="850"/>
      <c r="I32" s="850"/>
      <c r="J32" s="850"/>
      <c r="K32" s="850"/>
      <c r="L32" s="850"/>
      <c r="M32" s="454" t="s">
        <v>218</v>
      </c>
      <c r="N32" s="843">
        <v>1</v>
      </c>
      <c r="O32" s="844"/>
    </row>
    <row r="33" spans="1:15" s="306" customFormat="1" ht="15" customHeight="1" thickBot="1">
      <c r="A33" s="534">
        <f t="shared" si="0"/>
        <v>27</v>
      </c>
      <c r="B33" s="481"/>
      <c r="C33" s="506"/>
      <c r="D33" s="499" t="s">
        <v>295</v>
      </c>
      <c r="E33" s="888" t="s">
        <v>340</v>
      </c>
      <c r="F33" s="889"/>
      <c r="G33" s="500" t="s">
        <v>261</v>
      </c>
      <c r="H33" s="847" t="s">
        <v>338</v>
      </c>
      <c r="I33" s="848"/>
      <c r="J33" s="848"/>
      <c r="K33" s="848"/>
      <c r="L33" s="848"/>
      <c r="M33" s="507" t="s">
        <v>218</v>
      </c>
      <c r="N33" s="845">
        <v>2</v>
      </c>
      <c r="O33" s="846"/>
    </row>
    <row r="34" spans="1:15" ht="15" customHeight="1" thickBot="1">
      <c r="A34" s="482"/>
      <c r="B34" s="886" t="s">
        <v>66</v>
      </c>
      <c r="C34" s="887"/>
      <c r="D34" s="835"/>
      <c r="E34" s="836"/>
      <c r="F34" s="836"/>
      <c r="G34" s="836"/>
      <c r="H34" s="836"/>
      <c r="I34" s="836"/>
      <c r="J34" s="836"/>
      <c r="K34" s="836"/>
      <c r="L34" s="836"/>
      <c r="M34" s="836"/>
      <c r="N34" s="836"/>
      <c r="O34" s="837"/>
    </row>
    <row r="35" spans="1:15" ht="15" customHeight="1" thickBot="1">
      <c r="A35" s="476" t="s">
        <v>56</v>
      </c>
      <c r="B35" s="851" t="s">
        <v>134</v>
      </c>
      <c r="C35" s="644"/>
      <c r="D35" s="144" t="str">
        <f>'bot-nc'!B7</f>
        <v>W1000</v>
      </c>
      <c r="E35" s="145">
        <f>'bot-nc'!B8</f>
        <v>1.6</v>
      </c>
      <c r="F35" s="146" t="s">
        <v>133</v>
      </c>
      <c r="G35" s="299">
        <v>14</v>
      </c>
      <c r="H35" s="220" t="s">
        <v>128</v>
      </c>
      <c r="I35" s="243">
        <v>28</v>
      </c>
      <c r="J35" s="852"/>
      <c r="K35" s="853"/>
      <c r="L35" s="854"/>
      <c r="M35" s="147" t="s">
        <v>57</v>
      </c>
      <c r="N35" s="841">
        <v>1</v>
      </c>
      <c r="O35" s="842"/>
    </row>
    <row r="36" spans="1:15" ht="15" customHeight="1" thickBot="1">
      <c r="A36" s="477">
        <f>A35+1</f>
        <v>2</v>
      </c>
      <c r="B36" s="829" t="s">
        <v>135</v>
      </c>
      <c r="C36" s="612"/>
      <c r="D36" s="182" t="str">
        <f>'bot-nc'!C7</f>
        <v>R8220</v>
      </c>
      <c r="E36" s="98">
        <f>'bot-nc'!C8</f>
        <v>0.8</v>
      </c>
      <c r="F36" s="185" t="s">
        <v>133</v>
      </c>
      <c r="G36" s="223">
        <f>G35</f>
        <v>14</v>
      </c>
      <c r="H36" s="220" t="s">
        <v>128</v>
      </c>
      <c r="I36" s="124">
        <f>I35</f>
        <v>28</v>
      </c>
      <c r="J36" s="832"/>
      <c r="K36" s="833"/>
      <c r="L36" s="834"/>
      <c r="M36" s="286" t="s">
        <v>57</v>
      </c>
      <c r="N36" s="755">
        <v>1</v>
      </c>
      <c r="O36" s="756"/>
    </row>
    <row r="37" spans="1:15" ht="15" customHeight="1" thickBot="1">
      <c r="A37" s="477">
        <f>A36+1</f>
        <v>3</v>
      </c>
      <c r="B37" s="829" t="s">
        <v>136</v>
      </c>
      <c r="C37" s="612"/>
      <c r="D37" s="474" t="str">
        <f>'bot-nc'!D7</f>
        <v>R8220</v>
      </c>
      <c r="E37" s="186">
        <f>'bot-nc'!D8</f>
        <v>1</v>
      </c>
      <c r="F37" s="185" t="s">
        <v>133</v>
      </c>
      <c r="G37" s="223">
        <f>G35</f>
        <v>14</v>
      </c>
      <c r="H37" s="220" t="s">
        <v>128</v>
      </c>
      <c r="I37" s="124">
        <f>I35</f>
        <v>28</v>
      </c>
      <c r="J37" s="832"/>
      <c r="K37" s="833"/>
      <c r="L37" s="834"/>
      <c r="M37" s="286" t="s">
        <v>57</v>
      </c>
      <c r="N37" s="755">
        <v>1</v>
      </c>
      <c r="O37" s="756"/>
    </row>
    <row r="38" spans="1:15" ht="15" customHeight="1" thickBot="1">
      <c r="A38" s="477">
        <f t="shared" ref="A38:A59" si="1">A37+1</f>
        <v>4</v>
      </c>
      <c r="B38" s="829" t="s">
        <v>137</v>
      </c>
      <c r="C38" s="638"/>
      <c r="D38" s="475" t="str">
        <f>'bot-nc'!E7</f>
        <v>PPS</v>
      </c>
      <c r="E38" s="473">
        <f>'bot-nc'!E8</f>
        <v>3</v>
      </c>
      <c r="F38" s="185" t="s">
        <v>133</v>
      </c>
      <c r="G38" s="299">
        <v>36</v>
      </c>
      <c r="H38" s="220" t="s">
        <v>128</v>
      </c>
      <c r="I38" s="243">
        <v>36</v>
      </c>
      <c r="J38" s="832"/>
      <c r="K38" s="833"/>
      <c r="L38" s="834"/>
      <c r="M38" s="286" t="s">
        <v>57</v>
      </c>
      <c r="N38" s="755">
        <v>1</v>
      </c>
      <c r="O38" s="756"/>
    </row>
    <row r="39" spans="1:15" ht="15" customHeight="1" thickBot="1">
      <c r="A39" s="477">
        <f t="shared" si="1"/>
        <v>5</v>
      </c>
      <c r="B39" s="829" t="s">
        <v>138</v>
      </c>
      <c r="C39" s="612"/>
      <c r="D39" s="144" t="str">
        <f>'bot-nc'!F7</f>
        <v>PPS</v>
      </c>
      <c r="E39" s="186">
        <f>'bot-nc'!F8</f>
        <v>1.5</v>
      </c>
      <c r="F39" s="185" t="s">
        <v>133</v>
      </c>
      <c r="G39" s="223">
        <f>G38</f>
        <v>36</v>
      </c>
      <c r="H39" s="219" t="s">
        <v>128</v>
      </c>
      <c r="I39" s="124">
        <f>I38</f>
        <v>36</v>
      </c>
      <c r="J39" s="832"/>
      <c r="K39" s="833"/>
      <c r="L39" s="834"/>
      <c r="M39" s="286" t="s">
        <v>57</v>
      </c>
      <c r="N39" s="755">
        <v>1</v>
      </c>
      <c r="O39" s="756"/>
    </row>
    <row r="40" spans="1:15" ht="15" customHeight="1" thickBot="1">
      <c r="A40" s="511">
        <f t="shared" si="1"/>
        <v>6</v>
      </c>
      <c r="B40" s="829" t="s">
        <v>139</v>
      </c>
      <c r="C40" s="612"/>
      <c r="D40" s="182" t="str">
        <f>'bot-nc'!G7</f>
        <v>PPS</v>
      </c>
      <c r="E40" s="186">
        <f>'bot-nc'!G8</f>
        <v>3</v>
      </c>
      <c r="F40" s="185" t="s">
        <v>133</v>
      </c>
      <c r="G40" s="223">
        <f>G39</f>
        <v>36</v>
      </c>
      <c r="H40" s="219" t="s">
        <v>128</v>
      </c>
      <c r="I40" s="124">
        <f>I39</f>
        <v>36</v>
      </c>
      <c r="J40" s="832"/>
      <c r="K40" s="833"/>
      <c r="L40" s="834"/>
      <c r="M40" s="286" t="s">
        <v>57</v>
      </c>
      <c r="N40" s="755">
        <v>1</v>
      </c>
      <c r="O40" s="756"/>
    </row>
    <row r="41" spans="1:15" ht="15" customHeight="1" thickBot="1">
      <c r="A41" s="511">
        <f t="shared" si="1"/>
        <v>7</v>
      </c>
      <c r="B41" s="829" t="s">
        <v>140</v>
      </c>
      <c r="C41" s="612"/>
      <c r="D41" s="182" t="str">
        <f>'bot-nc'!H7</f>
        <v>PPS</v>
      </c>
      <c r="E41" s="186">
        <f>'bot-nc'!H8</f>
        <v>5</v>
      </c>
      <c r="F41" s="185" t="s">
        <v>133</v>
      </c>
      <c r="G41" s="223">
        <f>G40</f>
        <v>36</v>
      </c>
      <c r="H41" s="219" t="s">
        <v>128</v>
      </c>
      <c r="I41" s="124">
        <f>I40</f>
        <v>36</v>
      </c>
      <c r="J41" s="832"/>
      <c r="K41" s="833"/>
      <c r="L41" s="834"/>
      <c r="M41" s="286" t="s">
        <v>57</v>
      </c>
      <c r="N41" s="755">
        <v>1</v>
      </c>
      <c r="O41" s="756"/>
    </row>
    <row r="42" spans="1:15" ht="15" customHeight="1" thickBot="1">
      <c r="A42" s="511">
        <f t="shared" si="1"/>
        <v>8</v>
      </c>
      <c r="B42" s="829" t="s">
        <v>188</v>
      </c>
      <c r="C42" s="612"/>
      <c r="D42" s="182" t="str">
        <f>'top-nc'!J7</f>
        <v>FR4</v>
      </c>
      <c r="E42" s="186">
        <f>'bot-nc'!I8</f>
        <v>1</v>
      </c>
      <c r="F42" s="185" t="s">
        <v>133</v>
      </c>
      <c r="G42" s="299">
        <v>36</v>
      </c>
      <c r="H42" s="220" t="s">
        <v>128</v>
      </c>
      <c r="I42" s="243">
        <v>36</v>
      </c>
      <c r="J42" s="832"/>
      <c r="K42" s="833"/>
      <c r="L42" s="834"/>
      <c r="M42" s="286" t="s">
        <v>57</v>
      </c>
      <c r="N42" s="755">
        <v>1</v>
      </c>
      <c r="O42" s="756"/>
    </row>
    <row r="43" spans="1:15" ht="15" customHeight="1">
      <c r="A43" s="511">
        <f t="shared" si="1"/>
        <v>9</v>
      </c>
      <c r="B43" s="829" t="s">
        <v>141</v>
      </c>
      <c r="C43" s="638"/>
      <c r="D43" s="182" t="str">
        <f>'bot-nc'!J7</f>
        <v>FR4</v>
      </c>
      <c r="E43" s="133">
        <f>'bot-nc'!J8</f>
        <v>10</v>
      </c>
      <c r="F43" s="185" t="s">
        <v>133</v>
      </c>
      <c r="G43" s="304">
        <f>'bot-nc'!F42</f>
        <v>80</v>
      </c>
      <c r="H43" s="219" t="s">
        <v>128</v>
      </c>
      <c r="I43" s="124">
        <f>'bot-nc'!H42</f>
        <v>80</v>
      </c>
      <c r="J43" s="832"/>
      <c r="K43" s="833"/>
      <c r="L43" s="834"/>
      <c r="M43" s="286" t="s">
        <v>13</v>
      </c>
      <c r="N43" s="755">
        <v>1</v>
      </c>
      <c r="O43" s="756"/>
    </row>
    <row r="44" spans="1:15" ht="15" customHeight="1">
      <c r="A44" s="511">
        <f t="shared" si="1"/>
        <v>10</v>
      </c>
      <c r="B44" s="780"/>
      <c r="C44" s="781"/>
      <c r="D44" s="425" t="s">
        <v>59</v>
      </c>
      <c r="E44" s="784" t="str">
        <f>'bot-nc'!J23</f>
        <v>M3襯套</v>
      </c>
      <c r="F44" s="785"/>
      <c r="G44" s="785"/>
      <c r="H44" s="785"/>
      <c r="I44" s="785"/>
      <c r="J44" s="785"/>
      <c r="K44" s="785"/>
      <c r="L44" s="785"/>
      <c r="M44" s="441" t="s">
        <v>60</v>
      </c>
      <c r="N44" s="855">
        <f>'bot-nc'!P23</f>
        <v>4</v>
      </c>
      <c r="O44" s="772"/>
    </row>
    <row r="45" spans="1:15" ht="15" customHeight="1">
      <c r="A45" s="511">
        <f t="shared" si="1"/>
        <v>11</v>
      </c>
      <c r="B45" s="478"/>
      <c r="C45" s="291">
        <v>15040002</v>
      </c>
      <c r="D45" s="293" t="s">
        <v>225</v>
      </c>
      <c r="E45" s="765" t="s">
        <v>226</v>
      </c>
      <c r="F45" s="766"/>
      <c r="G45" s="766"/>
      <c r="H45" s="766"/>
      <c r="I45" s="766"/>
      <c r="J45" s="766"/>
      <c r="K45" s="766"/>
      <c r="L45" s="809"/>
      <c r="M45" s="426" t="s">
        <v>21</v>
      </c>
      <c r="N45" s="855">
        <f>'bot-nc'!P14</f>
        <v>2</v>
      </c>
      <c r="O45" s="772"/>
    </row>
    <row r="46" spans="1:15" ht="15" customHeight="1">
      <c r="A46" s="511">
        <f t="shared" si="1"/>
        <v>12</v>
      </c>
      <c r="B46" s="874"/>
      <c r="C46" s="875"/>
      <c r="D46" s="442" t="str">
        <f>'bot-nc'!O12</f>
        <v>AF定位PIN-2.0</v>
      </c>
      <c r="E46" s="442" t="s">
        <v>41</v>
      </c>
      <c r="F46" s="769">
        <f>'bot-nc'!K12</f>
        <v>2</v>
      </c>
      <c r="G46" s="770"/>
      <c r="H46" s="442" t="s">
        <v>142</v>
      </c>
      <c r="I46" s="823">
        <f>'bot-nc'!L12</f>
        <v>29</v>
      </c>
      <c r="J46" s="824"/>
      <c r="K46" s="442" t="s">
        <v>143</v>
      </c>
      <c r="L46" s="443"/>
      <c r="M46" s="441" t="s">
        <v>21</v>
      </c>
      <c r="N46" s="855">
        <f>'bot-nc'!P12</f>
        <v>4</v>
      </c>
      <c r="O46" s="772"/>
    </row>
    <row r="47" spans="1:15" ht="15" customHeight="1">
      <c r="A47" s="511">
        <f t="shared" si="1"/>
        <v>13</v>
      </c>
      <c r="B47" s="478"/>
      <c r="C47" s="291"/>
      <c r="D47" s="442" t="str">
        <f>'bot-nc'!O13</f>
        <v>CD支柱-3.0</v>
      </c>
      <c r="E47" s="442" t="s">
        <v>41</v>
      </c>
      <c r="F47" s="444">
        <f>'bot-nc'!K13</f>
        <v>3</v>
      </c>
      <c r="G47" s="442" t="s">
        <v>142</v>
      </c>
      <c r="H47" s="769">
        <f>'bot-nc'!L13</f>
        <v>18.899999999999999</v>
      </c>
      <c r="I47" s="770"/>
      <c r="J47" s="442" t="s">
        <v>143</v>
      </c>
      <c r="K47" s="757"/>
      <c r="L47" s="862"/>
      <c r="M47" s="441" t="s">
        <v>21</v>
      </c>
      <c r="N47" s="810">
        <f>'bot-nc'!P13</f>
        <v>6</v>
      </c>
      <c r="O47" s="811"/>
    </row>
    <row r="48" spans="1:15" ht="15" customHeight="1">
      <c r="A48" s="511">
        <f t="shared" si="1"/>
        <v>14</v>
      </c>
      <c r="B48" s="478"/>
      <c r="C48" s="291"/>
      <c r="D48" s="442" t="str">
        <f>'bot-nc'!O28</f>
        <v>G支柱-3.5</v>
      </c>
      <c r="E48" s="442" t="s">
        <v>41</v>
      </c>
      <c r="F48" s="444">
        <f>'bot-nc'!K28</f>
        <v>3</v>
      </c>
      <c r="G48" s="442" t="s">
        <v>142</v>
      </c>
      <c r="H48" s="776">
        <f>'bot-nc'!L28</f>
        <v>65.3</v>
      </c>
      <c r="I48" s="775"/>
      <c r="J48" s="442" t="s">
        <v>214</v>
      </c>
      <c r="K48" s="769"/>
      <c r="L48" s="770"/>
      <c r="M48" s="441" t="s">
        <v>21</v>
      </c>
      <c r="N48" s="810">
        <f>'bot-nc'!P28</f>
        <v>4</v>
      </c>
      <c r="O48" s="811"/>
    </row>
    <row r="49" spans="1:15" ht="15" customHeight="1">
      <c r="A49" s="511">
        <f t="shared" si="1"/>
        <v>15</v>
      </c>
      <c r="B49" s="478"/>
      <c r="C49" s="291"/>
      <c r="D49" s="442" t="s">
        <v>61</v>
      </c>
      <c r="E49" s="776" t="str">
        <f>表頭!E8</f>
        <v>70N</v>
      </c>
      <c r="F49" s="821"/>
      <c r="G49" s="821"/>
      <c r="H49" s="821"/>
      <c r="I49" s="821"/>
      <c r="J49" s="821"/>
      <c r="K49" s="821"/>
      <c r="L49" s="821"/>
      <c r="M49" s="441" t="s">
        <v>21</v>
      </c>
      <c r="N49" s="810">
        <f>表頭!F8</f>
        <v>706</v>
      </c>
      <c r="O49" s="811"/>
    </row>
    <row r="50" spans="1:15" ht="15" customHeight="1">
      <c r="A50" s="511">
        <f t="shared" si="1"/>
        <v>16</v>
      </c>
      <c r="B50" s="478"/>
      <c r="C50" s="291"/>
      <c r="D50" s="293" t="s">
        <v>62</v>
      </c>
      <c r="E50" s="765" t="s">
        <v>144</v>
      </c>
      <c r="F50" s="766"/>
      <c r="G50" s="766"/>
      <c r="H50" s="766"/>
      <c r="I50" s="766"/>
      <c r="J50" s="766"/>
      <c r="K50" s="766"/>
      <c r="L50" s="766"/>
      <c r="M50" s="426" t="s">
        <v>21</v>
      </c>
      <c r="N50" s="858">
        <v>706</v>
      </c>
      <c r="O50" s="774"/>
    </row>
    <row r="51" spans="1:15" ht="15" customHeight="1">
      <c r="A51" s="511">
        <f t="shared" si="1"/>
        <v>17</v>
      </c>
      <c r="B51" s="478"/>
      <c r="C51" s="291"/>
      <c r="D51" s="293" t="s">
        <v>63</v>
      </c>
      <c r="E51" s="293" t="s">
        <v>41</v>
      </c>
      <c r="F51" s="759" t="str">
        <f>表頭!L8</f>
        <v>0.12</v>
      </c>
      <c r="G51" s="819"/>
      <c r="H51" s="765" t="s">
        <v>145</v>
      </c>
      <c r="I51" s="766"/>
      <c r="J51" s="766"/>
      <c r="K51" s="766"/>
      <c r="L51" s="766"/>
      <c r="M51" s="426" t="s">
        <v>21</v>
      </c>
      <c r="N51" s="858">
        <v>706</v>
      </c>
      <c r="O51" s="774"/>
    </row>
    <row r="52" spans="1:15" ht="15" customHeight="1" thickBot="1">
      <c r="A52" s="511">
        <f t="shared" si="1"/>
        <v>18</v>
      </c>
      <c r="B52" s="478"/>
      <c r="C52" s="291"/>
      <c r="D52" s="293" t="s">
        <v>64</v>
      </c>
      <c r="E52" s="759" t="str">
        <f>表頭!K9</f>
        <v>DD(HALF)</v>
      </c>
      <c r="F52" s="761"/>
      <c r="G52" s="761"/>
      <c r="H52" s="761"/>
      <c r="I52" s="761"/>
      <c r="J52" s="761"/>
      <c r="K52" s="761"/>
      <c r="L52" s="871"/>
      <c r="M52" s="441" t="s">
        <v>21</v>
      </c>
      <c r="N52" s="868" t="str">
        <f>表頭!L9</f>
        <v>1</v>
      </c>
      <c r="O52" s="762"/>
    </row>
    <row r="53" spans="1:15" ht="15" customHeight="1">
      <c r="A53" s="511">
        <f t="shared" si="1"/>
        <v>19</v>
      </c>
      <c r="B53" s="526"/>
      <c r="C53" s="527">
        <v>15280028</v>
      </c>
      <c r="D53" s="528" t="s">
        <v>224</v>
      </c>
      <c r="E53" s="767" t="s">
        <v>300</v>
      </c>
      <c r="F53" s="768"/>
      <c r="G53" s="768"/>
      <c r="H53" s="768"/>
      <c r="I53" s="768"/>
      <c r="J53" s="768"/>
      <c r="K53" s="768"/>
      <c r="L53" s="820"/>
      <c r="M53" s="529" t="s">
        <v>65</v>
      </c>
      <c r="N53" s="814" t="s">
        <v>147</v>
      </c>
      <c r="O53" s="815"/>
    </row>
    <row r="54" spans="1:15">
      <c r="A54" s="511">
        <f t="shared" si="1"/>
        <v>20</v>
      </c>
      <c r="B54" s="479"/>
      <c r="C54" s="447">
        <v>15160024</v>
      </c>
      <c r="D54" s="445" t="s">
        <v>220</v>
      </c>
      <c r="E54" s="816" t="s">
        <v>221</v>
      </c>
      <c r="F54" s="817"/>
      <c r="G54" s="817"/>
      <c r="H54" s="817"/>
      <c r="I54" s="817"/>
      <c r="J54" s="817"/>
      <c r="K54" s="817"/>
      <c r="L54" s="817"/>
      <c r="M54" s="448" t="s">
        <v>218</v>
      </c>
      <c r="N54" s="880" t="s">
        <v>219</v>
      </c>
      <c r="O54" s="813"/>
    </row>
    <row r="55" spans="1:15">
      <c r="A55" s="511">
        <f t="shared" si="1"/>
        <v>21</v>
      </c>
      <c r="B55" s="479"/>
      <c r="C55" s="447">
        <v>15160022</v>
      </c>
      <c r="D55" s="445" t="s">
        <v>222</v>
      </c>
      <c r="E55" s="806" t="s">
        <v>223</v>
      </c>
      <c r="F55" s="807"/>
      <c r="G55" s="807"/>
      <c r="H55" s="807"/>
      <c r="I55" s="807"/>
      <c r="J55" s="807"/>
      <c r="K55" s="807"/>
      <c r="L55" s="808"/>
      <c r="M55" s="446" t="s">
        <v>218</v>
      </c>
      <c r="N55" s="880" t="s">
        <v>219</v>
      </c>
      <c r="O55" s="813"/>
    </row>
    <row r="56" spans="1:15">
      <c r="A56" s="511">
        <f t="shared" si="1"/>
        <v>22</v>
      </c>
      <c r="B56" s="546" t="s">
        <v>307</v>
      </c>
      <c r="C56" s="547">
        <v>15110002</v>
      </c>
      <c r="D56" s="548" t="s">
        <v>308</v>
      </c>
      <c r="E56" s="827" t="s">
        <v>309</v>
      </c>
      <c r="F56" s="828"/>
      <c r="G56" s="828"/>
      <c r="H56" s="828"/>
      <c r="I56" s="828"/>
      <c r="J56" s="828"/>
      <c r="K56" s="828"/>
      <c r="L56" s="828"/>
      <c r="M56" s="549" t="s">
        <v>65</v>
      </c>
      <c r="N56" s="825">
        <v>1</v>
      </c>
      <c r="O56" s="826"/>
    </row>
    <row r="57" spans="1:15">
      <c r="A57" s="511">
        <f t="shared" si="1"/>
        <v>23</v>
      </c>
      <c r="B57" s="830">
        <v>15060004</v>
      </c>
      <c r="C57" s="831"/>
      <c r="D57" s="445" t="s">
        <v>240</v>
      </c>
      <c r="E57" s="822" t="s">
        <v>241</v>
      </c>
      <c r="F57" s="822"/>
      <c r="G57" s="822"/>
      <c r="H57" s="822"/>
      <c r="I57" s="822"/>
      <c r="J57" s="822"/>
      <c r="K57" s="822"/>
      <c r="L57" s="822"/>
      <c r="M57" s="446" t="s">
        <v>65</v>
      </c>
      <c r="N57" s="812" t="s">
        <v>147</v>
      </c>
      <c r="O57" s="813"/>
    </row>
    <row r="58" spans="1:15">
      <c r="A58" s="511">
        <f t="shared" si="1"/>
        <v>24</v>
      </c>
      <c r="B58" s="483"/>
      <c r="C58" s="447">
        <v>14115512</v>
      </c>
      <c r="D58" s="449" t="s">
        <v>269</v>
      </c>
      <c r="E58" s="816" t="s">
        <v>244</v>
      </c>
      <c r="F58" s="817"/>
      <c r="G58" s="817"/>
      <c r="H58" s="817"/>
      <c r="I58" s="817"/>
      <c r="J58" s="817"/>
      <c r="K58" s="817"/>
      <c r="L58" s="818"/>
      <c r="M58" s="450" t="s">
        <v>218</v>
      </c>
      <c r="N58" s="812">
        <v>1</v>
      </c>
      <c r="O58" s="813"/>
    </row>
    <row r="59" spans="1:15" s="306" customFormat="1" ht="17.25" thickBot="1">
      <c r="A59" s="511">
        <f t="shared" si="1"/>
        <v>25</v>
      </c>
      <c r="B59" s="481"/>
      <c r="C59" s="492"/>
      <c r="D59" s="490" t="s">
        <v>295</v>
      </c>
      <c r="E59" s="888" t="s">
        <v>340</v>
      </c>
      <c r="F59" s="889"/>
      <c r="G59" s="491" t="s">
        <v>261</v>
      </c>
      <c r="H59" s="847" t="s">
        <v>339</v>
      </c>
      <c r="I59" s="848"/>
      <c r="J59" s="848"/>
      <c r="K59" s="848"/>
      <c r="L59" s="848"/>
      <c r="M59" s="493" t="s">
        <v>218</v>
      </c>
      <c r="N59" s="845">
        <v>2</v>
      </c>
      <c r="O59" s="846"/>
    </row>
    <row r="60" spans="1:15">
      <c r="A60" s="119"/>
      <c r="B60" s="860" t="s">
        <v>67</v>
      </c>
      <c r="C60" s="861"/>
      <c r="D60" s="125"/>
      <c r="E60" s="866"/>
      <c r="F60" s="867"/>
      <c r="G60" s="867"/>
      <c r="H60" s="867"/>
      <c r="I60" s="867"/>
      <c r="J60" s="867"/>
      <c r="K60" s="867"/>
      <c r="L60" s="867"/>
      <c r="M60" s="126"/>
      <c r="N60" s="869"/>
      <c r="O60" s="870"/>
    </row>
    <row r="61" spans="1:15">
      <c r="A61" s="120" t="s">
        <v>56</v>
      </c>
      <c r="B61" s="5"/>
      <c r="C61" s="15">
        <v>15080004</v>
      </c>
      <c r="D61" s="227" t="s">
        <v>227</v>
      </c>
      <c r="E61" s="865" t="s">
        <v>228</v>
      </c>
      <c r="F61" s="766"/>
      <c r="G61" s="766"/>
      <c r="H61" s="766"/>
      <c r="I61" s="766"/>
      <c r="J61" s="766"/>
      <c r="K61" s="766"/>
      <c r="L61" s="766"/>
      <c r="M61" s="22"/>
      <c r="N61" s="872">
        <v>4</v>
      </c>
      <c r="O61" s="873"/>
    </row>
    <row r="62" spans="1:15" ht="17.25" thickBot="1">
      <c r="A62" s="121" t="s">
        <v>58</v>
      </c>
      <c r="B62" s="5"/>
      <c r="C62" s="228">
        <v>15071001</v>
      </c>
      <c r="D62" s="229" t="s">
        <v>68</v>
      </c>
      <c r="E62" s="863" t="s">
        <v>229</v>
      </c>
      <c r="F62" s="864"/>
      <c r="G62" s="864"/>
      <c r="H62" s="864"/>
      <c r="I62" s="864"/>
      <c r="J62" s="864"/>
      <c r="K62" s="864"/>
      <c r="L62" s="864"/>
      <c r="M62" s="230"/>
      <c r="N62" s="856">
        <v>4</v>
      </c>
      <c r="O62" s="857"/>
    </row>
    <row r="63" spans="1:15">
      <c r="A63" s="119"/>
      <c r="B63" s="859" t="s">
        <v>69</v>
      </c>
      <c r="C63" s="859"/>
      <c r="D63" s="127"/>
      <c r="E63" s="885"/>
      <c r="F63" s="885"/>
      <c r="G63" s="885"/>
      <c r="H63" s="885"/>
      <c r="I63" s="885"/>
      <c r="J63" s="885"/>
      <c r="K63" s="885"/>
      <c r="L63" s="885"/>
      <c r="M63" s="126"/>
      <c r="N63" s="878"/>
      <c r="O63" s="879"/>
    </row>
    <row r="64" spans="1:15">
      <c r="A64" s="120" t="s">
        <v>56</v>
      </c>
      <c r="B64" s="5"/>
      <c r="C64" s="5"/>
      <c r="D64" s="53" t="s">
        <v>61</v>
      </c>
      <c r="E64" s="804" t="str">
        <f>E22</f>
        <v>40N(3.5)</v>
      </c>
      <c r="F64" s="805"/>
      <c r="G64" s="805"/>
      <c r="H64" s="805"/>
      <c r="I64" s="805"/>
      <c r="J64" s="805"/>
      <c r="K64" s="805"/>
      <c r="L64" s="805"/>
      <c r="M64" s="52" t="s">
        <v>21</v>
      </c>
      <c r="N64" s="881">
        <v>10</v>
      </c>
      <c r="O64" s="882"/>
    </row>
    <row r="65" spans="1:15" ht="17.25" thickBot="1">
      <c r="A65" s="121" t="s">
        <v>58</v>
      </c>
      <c r="B65" s="46"/>
      <c r="C65" s="46"/>
      <c r="D65" s="122" t="s">
        <v>61</v>
      </c>
      <c r="E65" s="883" t="str">
        <f>E49</f>
        <v>70N</v>
      </c>
      <c r="F65" s="884"/>
      <c r="G65" s="884"/>
      <c r="H65" s="884"/>
      <c r="I65" s="884"/>
      <c r="J65" s="884"/>
      <c r="K65" s="884"/>
      <c r="L65" s="884"/>
      <c r="M65" s="134" t="s">
        <v>21</v>
      </c>
      <c r="N65" s="876">
        <v>10</v>
      </c>
      <c r="O65" s="877"/>
    </row>
    <row r="66" spans="1:15">
      <c r="A66" s="34"/>
      <c r="B66" s="24"/>
      <c r="C66" s="3"/>
      <c r="D66" s="3"/>
      <c r="E66" s="3"/>
      <c r="F66" s="3"/>
      <c r="G66" s="3"/>
      <c r="H66" s="3"/>
      <c r="I66" s="3"/>
      <c r="J66" s="3"/>
      <c r="K66" s="3"/>
      <c r="L66" s="3"/>
      <c r="M66" s="55" t="s">
        <v>70</v>
      </c>
      <c r="N66" s="55"/>
      <c r="O66" s="55"/>
    </row>
    <row r="67" spans="1:15">
      <c r="A67" s="34"/>
      <c r="B67" s="24"/>
      <c r="C67" s="3"/>
      <c r="D67" s="3"/>
      <c r="E67" s="3"/>
      <c r="F67" s="3"/>
      <c r="G67" s="3"/>
      <c r="H67" s="3"/>
      <c r="I67" s="3"/>
      <c r="J67" s="3"/>
      <c r="K67" s="3"/>
      <c r="L67" s="3"/>
      <c r="M67" s="54"/>
      <c r="N67" s="54"/>
      <c r="O67" s="54"/>
    </row>
    <row r="68" spans="1:15">
      <c r="A68" s="56"/>
      <c r="B68" s="3"/>
      <c r="C68" s="3"/>
      <c r="D68" s="3"/>
      <c r="E68" s="3"/>
      <c r="F68" s="3"/>
      <c r="G68" s="3"/>
      <c r="H68" s="3"/>
      <c r="I68" s="3"/>
      <c r="J68" s="3"/>
      <c r="K68" s="3"/>
      <c r="L68" s="3"/>
      <c r="M68" s="4"/>
      <c r="N68" s="4"/>
      <c r="O68" s="4"/>
    </row>
    <row r="69" spans="1:15">
      <c r="A69" s="56"/>
      <c r="B69" s="3"/>
      <c r="C69" s="3"/>
      <c r="D69" s="3"/>
      <c r="E69" s="3"/>
      <c r="F69" s="3"/>
      <c r="G69" s="3"/>
      <c r="H69" s="3"/>
      <c r="I69" s="3"/>
      <c r="J69" s="3"/>
      <c r="K69" s="3"/>
      <c r="L69" s="3"/>
      <c r="M69" s="4"/>
      <c r="N69" s="4"/>
      <c r="O69" s="4"/>
    </row>
    <row r="70" spans="1:15">
      <c r="A70" s="56"/>
      <c r="B70" s="3"/>
      <c r="C70" s="3"/>
      <c r="D70" s="3"/>
      <c r="E70" s="3"/>
      <c r="F70" s="3"/>
      <c r="G70" s="3"/>
      <c r="H70" s="3"/>
      <c r="I70" s="3"/>
      <c r="J70" s="3"/>
      <c r="K70" s="3"/>
      <c r="L70" s="3"/>
      <c r="M70" s="4"/>
      <c r="N70" s="4"/>
      <c r="O70" s="4"/>
    </row>
  </sheetData>
  <mergeCells count="165">
    <mergeCell ref="N37:O37"/>
    <mergeCell ref="J39:L39"/>
    <mergeCell ref="N65:O65"/>
    <mergeCell ref="B16:C16"/>
    <mergeCell ref="B17:C17"/>
    <mergeCell ref="B19:C19"/>
    <mergeCell ref="N31:O31"/>
    <mergeCell ref="N63:O63"/>
    <mergeCell ref="N54:O54"/>
    <mergeCell ref="N55:O55"/>
    <mergeCell ref="N57:O57"/>
    <mergeCell ref="N64:O64"/>
    <mergeCell ref="E65:L65"/>
    <mergeCell ref="E63:L63"/>
    <mergeCell ref="B37:C37"/>
    <mergeCell ref="B34:C34"/>
    <mergeCell ref="N24:O24"/>
    <mergeCell ref="N46:O46"/>
    <mergeCell ref="N44:O44"/>
    <mergeCell ref="N59:O59"/>
    <mergeCell ref="E59:F59"/>
    <mergeCell ref="N41:O41"/>
    <mergeCell ref="B63:C63"/>
    <mergeCell ref="B60:C60"/>
    <mergeCell ref="N42:O42"/>
    <mergeCell ref="N50:O50"/>
    <mergeCell ref="N43:O43"/>
    <mergeCell ref="E62:L62"/>
    <mergeCell ref="E61:L61"/>
    <mergeCell ref="E60:L60"/>
    <mergeCell ref="J43:L43"/>
    <mergeCell ref="N52:O52"/>
    <mergeCell ref="N60:O60"/>
    <mergeCell ref="N47:O47"/>
    <mergeCell ref="E50:L50"/>
    <mergeCell ref="E52:L52"/>
    <mergeCell ref="N61:O61"/>
    <mergeCell ref="B46:C46"/>
    <mergeCell ref="K47:L47"/>
    <mergeCell ref="B44:C44"/>
    <mergeCell ref="E44:L44"/>
    <mergeCell ref="B43:C43"/>
    <mergeCell ref="B42:C42"/>
    <mergeCell ref="J42:L42"/>
    <mergeCell ref="N45:O45"/>
    <mergeCell ref="N48:O48"/>
    <mergeCell ref="N62:O62"/>
    <mergeCell ref="N51:O51"/>
    <mergeCell ref="H47:I47"/>
    <mergeCell ref="B57:C57"/>
    <mergeCell ref="H59:L59"/>
    <mergeCell ref="B39:C39"/>
    <mergeCell ref="J41:L41"/>
    <mergeCell ref="E31:L31"/>
    <mergeCell ref="J40:L40"/>
    <mergeCell ref="B40:C40"/>
    <mergeCell ref="B35:C35"/>
    <mergeCell ref="B36:C36"/>
    <mergeCell ref="B38:C38"/>
    <mergeCell ref="J35:L35"/>
    <mergeCell ref="J38:L38"/>
    <mergeCell ref="N40:O40"/>
    <mergeCell ref="B41:C41"/>
    <mergeCell ref="B31:C31"/>
    <mergeCell ref="J37:L37"/>
    <mergeCell ref="J36:L36"/>
    <mergeCell ref="D34:O34"/>
    <mergeCell ref="I19:J19"/>
    <mergeCell ref="N19:O19"/>
    <mergeCell ref="N20:O20"/>
    <mergeCell ref="N28:O28"/>
    <mergeCell ref="N27:O27"/>
    <mergeCell ref="N35:O35"/>
    <mergeCell ref="N32:O32"/>
    <mergeCell ref="E22:L22"/>
    <mergeCell ref="N22:O22"/>
    <mergeCell ref="N21:O21"/>
    <mergeCell ref="N25:O25"/>
    <mergeCell ref="N33:O33"/>
    <mergeCell ref="E33:F33"/>
    <mergeCell ref="H33:L33"/>
    <mergeCell ref="N30:O30"/>
    <mergeCell ref="E64:L64"/>
    <mergeCell ref="E55:L55"/>
    <mergeCell ref="E45:L45"/>
    <mergeCell ref="N58:O58"/>
    <mergeCell ref="N49:O49"/>
    <mergeCell ref="N53:O53"/>
    <mergeCell ref="K48:L48"/>
    <mergeCell ref="E58:L58"/>
    <mergeCell ref="H51:L51"/>
    <mergeCell ref="E54:L54"/>
    <mergeCell ref="F51:G51"/>
    <mergeCell ref="E53:L53"/>
    <mergeCell ref="E49:L49"/>
    <mergeCell ref="H48:I48"/>
    <mergeCell ref="E57:L57"/>
    <mergeCell ref="F46:G46"/>
    <mergeCell ref="I46:J46"/>
    <mergeCell ref="N56:O56"/>
    <mergeCell ref="E56:L56"/>
    <mergeCell ref="A1:O1"/>
    <mergeCell ref="A2:B2"/>
    <mergeCell ref="A3:B3"/>
    <mergeCell ref="A4:O4"/>
    <mergeCell ref="B5:C5"/>
    <mergeCell ref="B12:C12"/>
    <mergeCell ref="B15:C15"/>
    <mergeCell ref="N14:O14"/>
    <mergeCell ref="N15:O15"/>
    <mergeCell ref="N11:O11"/>
    <mergeCell ref="N13:O13"/>
    <mergeCell ref="J8:L8"/>
    <mergeCell ref="J15:L15"/>
    <mergeCell ref="E5:L5"/>
    <mergeCell ref="N5:O5"/>
    <mergeCell ref="J2:O2"/>
    <mergeCell ref="N12:O12"/>
    <mergeCell ref="B7:C7"/>
    <mergeCell ref="B9:C9"/>
    <mergeCell ref="B10:C10"/>
    <mergeCell ref="D6:O6"/>
    <mergeCell ref="B6:C6"/>
    <mergeCell ref="B14:C14"/>
    <mergeCell ref="J14:L14"/>
    <mergeCell ref="J7:L7"/>
    <mergeCell ref="B13:C13"/>
    <mergeCell ref="J11:L11"/>
    <mergeCell ref="N16:O16"/>
    <mergeCell ref="J16:L16"/>
    <mergeCell ref="E17:L17"/>
    <mergeCell ref="N17:O17"/>
    <mergeCell ref="N9:O9"/>
    <mergeCell ref="N10:O10"/>
    <mergeCell ref="B11:C11"/>
    <mergeCell ref="B8:C8"/>
    <mergeCell ref="N7:O7"/>
    <mergeCell ref="J13:L13"/>
    <mergeCell ref="J12:L12"/>
    <mergeCell ref="J9:L9"/>
    <mergeCell ref="J10:L10"/>
    <mergeCell ref="N38:O38"/>
    <mergeCell ref="N39:O39"/>
    <mergeCell ref="K20:L20"/>
    <mergeCell ref="E26:L26"/>
    <mergeCell ref="N26:O26"/>
    <mergeCell ref="N8:O8"/>
    <mergeCell ref="E18:L18"/>
    <mergeCell ref="E27:L27"/>
    <mergeCell ref="E25:L25"/>
    <mergeCell ref="H24:L24"/>
    <mergeCell ref="H20:I20"/>
    <mergeCell ref="N18:O18"/>
    <mergeCell ref="N23:O23"/>
    <mergeCell ref="F19:G19"/>
    <mergeCell ref="F24:G24"/>
    <mergeCell ref="H21:I21"/>
    <mergeCell ref="K21:L21"/>
    <mergeCell ref="E23:L23"/>
    <mergeCell ref="E29:L29"/>
    <mergeCell ref="E32:L32"/>
    <mergeCell ref="E28:L28"/>
    <mergeCell ref="E30:L30"/>
    <mergeCell ref="N36:O36"/>
    <mergeCell ref="N29:O29"/>
  </mergeCells>
  <phoneticPr fontId="11" type="noConversion"/>
  <pageMargins left="0.25" right="0.25" top="0.75" bottom="0.75" header="0.3" footer="0.3"/>
  <pageSetup paperSize="9" scale="82" fitToHeight="0" orientation="portrait" r:id="rId1"/>
  <rowBreaks count="1" manualBreakCount="1">
    <brk id="3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tabColor theme="4" tint="0.39997558519241921"/>
    <pageSetUpPr fitToPage="1"/>
  </sheetPr>
  <dimension ref="A2:N50"/>
  <sheetViews>
    <sheetView topLeftCell="A4" workbookViewId="0">
      <selection activeCell="F10" sqref="F10"/>
    </sheetView>
  </sheetViews>
  <sheetFormatPr defaultRowHeight="16.5"/>
  <cols>
    <col min="1" max="1" width="5" customWidth="1"/>
    <col min="2" max="2" width="20.5" customWidth="1"/>
    <col min="3" max="3" width="7.625" customWidth="1"/>
    <col min="4" max="4" width="17.375" customWidth="1"/>
    <col min="5" max="5" width="11.25" customWidth="1"/>
    <col min="6" max="6" width="10.625" customWidth="1"/>
    <col min="7" max="7" width="15.5" customWidth="1"/>
    <col min="8" max="8" width="5" customWidth="1"/>
    <col min="9" max="9" width="3.875" customWidth="1"/>
    <col min="10" max="10" width="5" customWidth="1"/>
    <col min="12" max="13" width="11.875" customWidth="1"/>
  </cols>
  <sheetData>
    <row r="2" spans="1:14" ht="50.25">
      <c r="A2" s="893" t="s">
        <v>166</v>
      </c>
      <c r="B2" s="894"/>
      <c r="C2" s="894"/>
      <c r="D2" s="894"/>
      <c r="E2" s="894"/>
      <c r="F2" s="894"/>
      <c r="G2" s="894"/>
      <c r="H2" s="894"/>
      <c r="I2" s="894"/>
      <c r="J2" s="894"/>
    </row>
    <row r="3" spans="1:14" ht="19.5">
      <c r="A3" s="163"/>
      <c r="B3" s="163"/>
      <c r="C3" s="163"/>
      <c r="D3" s="163"/>
      <c r="E3" s="16" t="s">
        <v>167</v>
      </c>
      <c r="F3" s="895" t="str">
        <f>LIST!F1</f>
        <v>景碩科技 清華廠</v>
      </c>
      <c r="G3" s="896"/>
      <c r="H3" s="164"/>
      <c r="I3" s="164"/>
      <c r="J3" s="163"/>
    </row>
    <row r="4" spans="1:14" s="168" customFormat="1" ht="20.25" thickBot="1">
      <c r="A4" s="165" t="s">
        <v>168</v>
      </c>
      <c r="B4" s="165"/>
      <c r="C4" s="165" t="s">
        <v>169</v>
      </c>
      <c r="D4" s="166">
        <f ca="1">TODAY()</f>
        <v>46027</v>
      </c>
      <c r="E4" s="16" t="s">
        <v>170</v>
      </c>
      <c r="F4" s="167" t="str">
        <f>表頭!B3</f>
        <v>WD-2601007</v>
      </c>
      <c r="J4" s="165"/>
    </row>
    <row r="5" spans="1:14" ht="63.75" thickBot="1">
      <c r="A5" s="203"/>
      <c r="B5" s="201" t="s">
        <v>171</v>
      </c>
      <c r="C5" s="201" t="s">
        <v>172</v>
      </c>
      <c r="D5" s="204" t="s">
        <v>173</v>
      </c>
      <c r="E5" s="201" t="s">
        <v>174</v>
      </c>
      <c r="F5" s="205" t="s">
        <v>175</v>
      </c>
      <c r="G5" s="201" t="s">
        <v>176</v>
      </c>
      <c r="H5" s="897" t="s">
        <v>177</v>
      </c>
      <c r="I5" s="898"/>
      <c r="J5" s="899"/>
      <c r="K5" s="911" t="s">
        <v>211</v>
      </c>
      <c r="L5" s="912"/>
      <c r="M5" s="201" t="s">
        <v>178</v>
      </c>
      <c r="N5" s="202" t="s">
        <v>179</v>
      </c>
    </row>
    <row r="6" spans="1:14" ht="34.5" customHeight="1">
      <c r="A6" s="913">
        <v>1</v>
      </c>
      <c r="B6" s="907" t="s">
        <v>257</v>
      </c>
      <c r="C6" s="905">
        <v>1</v>
      </c>
      <c r="D6" s="905" t="s">
        <v>230</v>
      </c>
      <c r="E6" s="917">
        <f ca="1">TODAY()+1</f>
        <v>46028</v>
      </c>
      <c r="F6" s="194"/>
      <c r="G6" s="195"/>
      <c r="H6" s="919">
        <f>'top-nc'!F46</f>
        <v>80</v>
      </c>
      <c r="I6" s="902" t="s">
        <v>180</v>
      </c>
      <c r="J6" s="903">
        <f>'top-nc'!I46</f>
        <v>80</v>
      </c>
      <c r="K6" s="196"/>
      <c r="L6" s="196"/>
      <c r="M6" s="197"/>
      <c r="N6" s="198"/>
    </row>
    <row r="7" spans="1:14" ht="34.5" customHeight="1" thickBot="1">
      <c r="A7" s="914"/>
      <c r="B7" s="908"/>
      <c r="C7" s="906"/>
      <c r="D7" s="906"/>
      <c r="E7" s="918"/>
      <c r="F7" s="207"/>
      <c r="G7" s="207"/>
      <c r="H7" s="920"/>
      <c r="I7" s="909"/>
      <c r="J7" s="910"/>
      <c r="K7" s="216"/>
      <c r="L7" s="216"/>
      <c r="M7" s="217"/>
      <c r="N7" s="218"/>
    </row>
    <row r="8" spans="1:14" ht="34.5" customHeight="1">
      <c r="A8" s="915">
        <v>2</v>
      </c>
      <c r="B8" s="907" t="s">
        <v>258</v>
      </c>
      <c r="C8" s="905">
        <v>1</v>
      </c>
      <c r="D8" s="905" t="s">
        <v>236</v>
      </c>
      <c r="E8" s="917">
        <f ca="1">TODAY()+1</f>
        <v>46028</v>
      </c>
      <c r="F8" s="199"/>
      <c r="G8" s="199"/>
      <c r="H8" s="900">
        <f>'bot-nc'!F42</f>
        <v>80</v>
      </c>
      <c r="I8" s="902" t="s">
        <v>180</v>
      </c>
      <c r="J8" s="903">
        <f>'bot-nc'!H42</f>
        <v>80</v>
      </c>
      <c r="K8" s="208"/>
      <c r="L8" s="208"/>
      <c r="M8" s="200"/>
      <c r="N8" s="209"/>
    </row>
    <row r="9" spans="1:14" ht="34.5" customHeight="1" thickBot="1">
      <c r="A9" s="916"/>
      <c r="B9" s="908"/>
      <c r="C9" s="906"/>
      <c r="D9" s="906"/>
      <c r="E9" s="918"/>
      <c r="F9" s="190"/>
      <c r="G9" s="190"/>
      <c r="H9" s="901"/>
      <c r="I9" s="891"/>
      <c r="J9" s="904"/>
      <c r="K9" s="216"/>
      <c r="L9" s="216"/>
      <c r="M9" s="217"/>
      <c r="N9" s="218"/>
    </row>
    <row r="10" spans="1:14" ht="34.5" customHeight="1" thickBot="1">
      <c r="A10" s="206">
        <v>3</v>
      </c>
      <c r="B10" s="215"/>
      <c r="C10" s="253"/>
      <c r="D10" s="255"/>
      <c r="E10" s="256"/>
      <c r="F10" s="254"/>
      <c r="G10" s="190"/>
      <c r="H10" s="890"/>
      <c r="I10" s="891"/>
      <c r="J10" s="892"/>
      <c r="K10" s="190"/>
      <c r="L10" s="190"/>
      <c r="M10" s="169"/>
      <c r="N10" s="169"/>
    </row>
    <row r="11" spans="1:14" ht="34.5" customHeight="1" thickBot="1">
      <c r="A11" s="214">
        <v>4</v>
      </c>
      <c r="B11" s="215"/>
      <c r="C11" s="253"/>
      <c r="D11" s="255"/>
      <c r="E11" s="256"/>
      <c r="F11" s="170"/>
      <c r="G11" s="190"/>
      <c r="H11" s="890"/>
      <c r="I11" s="891"/>
      <c r="J11" s="892"/>
      <c r="K11" s="190"/>
      <c r="L11" s="190"/>
      <c r="M11" s="169"/>
      <c r="N11" s="169"/>
    </row>
    <row r="12" spans="1:14" ht="34.5" customHeight="1">
      <c r="A12" s="206">
        <v>5</v>
      </c>
      <c r="B12" s="190"/>
      <c r="C12" s="190"/>
      <c r="D12" s="190"/>
      <c r="E12" s="170"/>
      <c r="F12" s="170"/>
      <c r="G12" s="170"/>
      <c r="H12" s="890"/>
      <c r="I12" s="891"/>
      <c r="J12" s="892"/>
      <c r="K12" s="170"/>
      <c r="L12" s="170"/>
      <c r="M12" s="169"/>
      <c r="N12" s="169"/>
    </row>
    <row r="13" spans="1:14" ht="34.5" customHeight="1">
      <c r="A13" s="214">
        <v>6</v>
      </c>
      <c r="B13" s="190"/>
      <c r="C13" s="190"/>
      <c r="D13" s="190"/>
      <c r="E13" s="170"/>
      <c r="F13" s="170"/>
      <c r="G13" s="170"/>
      <c r="H13" s="890"/>
      <c r="I13" s="891"/>
      <c r="J13" s="892"/>
      <c r="K13" s="170"/>
      <c r="L13" s="170"/>
      <c r="M13" s="169"/>
      <c r="N13" s="169"/>
    </row>
    <row r="14" spans="1:14" ht="34.5" customHeight="1">
      <c r="A14" s="206">
        <v>7</v>
      </c>
      <c r="B14" s="190"/>
      <c r="C14" s="190"/>
      <c r="D14" s="190"/>
      <c r="E14" s="170"/>
      <c r="F14" s="170"/>
      <c r="G14" s="170"/>
      <c r="H14" s="890"/>
      <c r="I14" s="891"/>
      <c r="J14" s="892"/>
      <c r="K14" s="170"/>
      <c r="L14" s="170"/>
      <c r="M14" s="169"/>
      <c r="N14" s="169"/>
    </row>
    <row r="15" spans="1:14" ht="34.5" customHeight="1">
      <c r="A15" s="214">
        <v>8</v>
      </c>
      <c r="B15" s="190"/>
      <c r="C15" s="190"/>
      <c r="D15" s="190"/>
      <c r="E15" s="170"/>
      <c r="F15" s="170"/>
      <c r="G15" s="170"/>
      <c r="H15" s="890"/>
      <c r="I15" s="891"/>
      <c r="J15" s="892"/>
      <c r="K15" s="170"/>
      <c r="L15" s="170"/>
      <c r="M15" s="169"/>
      <c r="N15" s="169"/>
    </row>
    <row r="16" spans="1:14" ht="34.5" customHeight="1">
      <c r="A16" s="206">
        <v>9</v>
      </c>
      <c r="B16" s="190"/>
      <c r="C16" s="190"/>
      <c r="D16" s="190"/>
      <c r="E16" s="170"/>
      <c r="F16" s="170"/>
      <c r="G16" s="170"/>
      <c r="H16" s="890"/>
      <c r="I16" s="891"/>
      <c r="J16" s="892"/>
      <c r="K16" s="170"/>
      <c r="L16" s="170"/>
      <c r="M16" s="169"/>
      <c r="N16" s="169"/>
    </row>
    <row r="17" spans="1:14" ht="34.5" customHeight="1">
      <c r="A17" s="214">
        <v>10</v>
      </c>
      <c r="B17" s="190"/>
      <c r="C17" s="190"/>
      <c r="D17" s="190"/>
      <c r="E17" s="170"/>
      <c r="F17" s="170"/>
      <c r="G17" s="170"/>
      <c r="H17" s="890"/>
      <c r="I17" s="891"/>
      <c r="J17" s="892"/>
      <c r="K17" s="170"/>
      <c r="L17" s="170"/>
      <c r="M17" s="169"/>
      <c r="N17" s="169"/>
    </row>
    <row r="18" spans="1:14" ht="34.5" customHeight="1">
      <c r="A18" s="206">
        <v>11</v>
      </c>
      <c r="B18" s="190"/>
      <c r="C18" s="190"/>
      <c r="D18" s="190"/>
      <c r="E18" s="170"/>
      <c r="F18" s="170"/>
      <c r="G18" s="170"/>
      <c r="H18" s="890"/>
      <c r="I18" s="891"/>
      <c r="J18" s="892"/>
      <c r="K18" s="170"/>
      <c r="L18" s="170"/>
      <c r="M18" s="169"/>
      <c r="N18" s="169"/>
    </row>
    <row r="19" spans="1:14" ht="34.5" customHeight="1">
      <c r="A19" s="214">
        <v>12</v>
      </c>
      <c r="B19" s="190"/>
      <c r="C19" s="190"/>
      <c r="D19" s="190"/>
      <c r="E19" s="170"/>
      <c r="F19" s="170"/>
      <c r="G19" s="170"/>
      <c r="H19" s="890"/>
      <c r="I19" s="891"/>
      <c r="J19" s="892"/>
      <c r="K19" s="170"/>
      <c r="L19" s="170"/>
      <c r="M19" s="169"/>
      <c r="N19" s="169"/>
    </row>
    <row r="20" spans="1:14" ht="34.5" customHeight="1">
      <c r="A20" s="206">
        <v>13</v>
      </c>
      <c r="B20" s="190"/>
      <c r="C20" s="190"/>
      <c r="D20" s="190"/>
      <c r="E20" s="170"/>
      <c r="F20" s="170"/>
      <c r="G20" s="170"/>
      <c r="H20" s="890"/>
      <c r="I20" s="891"/>
      <c r="J20" s="892"/>
      <c r="K20" s="170"/>
      <c r="L20" s="170"/>
      <c r="M20" s="169"/>
      <c r="N20" s="169"/>
    </row>
    <row r="21" spans="1:14" ht="34.5" customHeight="1">
      <c r="A21" s="214">
        <v>14</v>
      </c>
      <c r="C21" s="169"/>
      <c r="E21" s="170"/>
      <c r="F21" s="170"/>
      <c r="G21" s="170"/>
      <c r="H21" s="890"/>
      <c r="I21" s="891"/>
      <c r="J21" s="892"/>
      <c r="K21" s="170"/>
      <c r="L21" s="170"/>
      <c r="M21" s="169"/>
      <c r="N21" s="169"/>
    </row>
    <row r="22" spans="1:14" ht="34.5" customHeight="1">
      <c r="A22" s="206">
        <v>15</v>
      </c>
      <c r="B22" s="190"/>
      <c r="C22" s="190"/>
      <c r="D22" s="190"/>
      <c r="E22" s="170"/>
      <c r="F22" s="170"/>
      <c r="G22" s="170"/>
      <c r="H22" s="890"/>
      <c r="I22" s="891"/>
      <c r="J22" s="892"/>
      <c r="K22" s="170"/>
      <c r="L22" s="170"/>
      <c r="M22" s="169"/>
      <c r="N22" s="169"/>
    </row>
    <row r="23" spans="1:14" ht="34.5" customHeight="1">
      <c r="A23" s="214">
        <v>16</v>
      </c>
      <c r="B23" s="190"/>
      <c r="C23" s="190"/>
      <c r="D23" s="190"/>
      <c r="E23" s="171"/>
      <c r="F23" s="171"/>
      <c r="G23" s="170"/>
      <c r="H23" s="890"/>
      <c r="I23" s="891"/>
      <c r="J23" s="892"/>
      <c r="K23" s="170"/>
      <c r="L23" s="170"/>
      <c r="M23" s="169"/>
      <c r="N23" s="169"/>
    </row>
    <row r="24" spans="1:14" ht="34.5" customHeight="1">
      <c r="A24" s="206">
        <v>17</v>
      </c>
      <c r="B24" s="190"/>
      <c r="C24" s="190"/>
      <c r="D24" s="190"/>
      <c r="E24" s="171"/>
      <c r="F24" s="171"/>
      <c r="G24" s="170"/>
      <c r="H24" s="890"/>
      <c r="I24" s="891"/>
      <c r="J24" s="892"/>
      <c r="K24" s="170"/>
      <c r="L24" s="170"/>
      <c r="M24" s="169"/>
      <c r="N24" s="169"/>
    </row>
    <row r="25" spans="1:14" ht="34.5" customHeight="1">
      <c r="A25" s="214">
        <v>18</v>
      </c>
      <c r="B25" s="190"/>
      <c r="C25" s="190"/>
      <c r="D25" s="190"/>
      <c r="E25" s="170"/>
      <c r="F25" s="170"/>
      <c r="G25" s="170"/>
      <c r="H25" s="890"/>
      <c r="I25" s="891"/>
      <c r="J25" s="892"/>
      <c r="K25" s="170"/>
      <c r="L25" s="170"/>
      <c r="M25" s="169"/>
      <c r="N25" s="169"/>
    </row>
    <row r="26" spans="1:14" ht="27.75" customHeight="1">
      <c r="C26" s="172" t="s">
        <v>181</v>
      </c>
      <c r="E26" s="172"/>
      <c r="F26" s="172"/>
      <c r="G26" s="173" t="s">
        <v>182</v>
      </c>
      <c r="H26" s="173"/>
      <c r="I26" s="173"/>
      <c r="J26" s="174" t="s">
        <v>183</v>
      </c>
    </row>
    <row r="27" spans="1:14" ht="27.75" customHeight="1">
      <c r="J27" s="17" t="s">
        <v>184</v>
      </c>
    </row>
    <row r="28" spans="1:14" ht="27.75" customHeight="1"/>
    <row r="29" spans="1:14" ht="27.75" customHeight="1"/>
    <row r="30" spans="1:14" ht="27.75" customHeight="1"/>
    <row r="31" spans="1:14" ht="27.75" customHeight="1"/>
    <row r="32" spans="1:14" ht="27.75" customHeight="1"/>
    <row r="33" ht="27.75" customHeight="1"/>
    <row r="34" ht="27.75" customHeight="1"/>
    <row r="35" ht="27.75" customHeight="1"/>
    <row r="36" ht="27.75" customHeight="1"/>
    <row r="37" ht="27.75" customHeight="1"/>
    <row r="38" ht="27.75" customHeight="1"/>
    <row r="39" ht="27.75" customHeight="1"/>
    <row r="40" ht="27.75" customHeight="1"/>
    <row r="41" ht="27.75" customHeight="1"/>
    <row r="42" ht="27.75" customHeight="1"/>
    <row r="43" ht="27.75" customHeight="1"/>
    <row r="44" ht="27.75" customHeight="1"/>
    <row r="45" ht="27.75" customHeight="1"/>
    <row r="46" ht="27.75" customHeight="1"/>
    <row r="47" ht="27.75" customHeight="1"/>
    <row r="48" ht="27.75" customHeight="1"/>
    <row r="49" ht="27.75" customHeight="1"/>
    <row r="50" ht="27.75" customHeight="1"/>
  </sheetData>
  <mergeCells count="36">
    <mergeCell ref="K5:L5"/>
    <mergeCell ref="A6:A7"/>
    <mergeCell ref="A8:A9"/>
    <mergeCell ref="E6:E7"/>
    <mergeCell ref="E8:E9"/>
    <mergeCell ref="H6:H7"/>
    <mergeCell ref="H10:J10"/>
    <mergeCell ref="H11:J11"/>
    <mergeCell ref="H12:J12"/>
    <mergeCell ref="H13:J13"/>
    <mergeCell ref="D6:D7"/>
    <mergeCell ref="D8:D9"/>
    <mergeCell ref="I6:I7"/>
    <mergeCell ref="J6:J7"/>
    <mergeCell ref="A2:J2"/>
    <mergeCell ref="F3:G3"/>
    <mergeCell ref="H5:J5"/>
    <mergeCell ref="H8:H9"/>
    <mergeCell ref="I8:I9"/>
    <mergeCell ref="J8:J9"/>
    <mergeCell ref="C6:C7"/>
    <mergeCell ref="C8:C9"/>
    <mergeCell ref="B8:B9"/>
    <mergeCell ref="B6:B7"/>
    <mergeCell ref="H24:J24"/>
    <mergeCell ref="H25:J25"/>
    <mergeCell ref="H14:J14"/>
    <mergeCell ref="H15:J15"/>
    <mergeCell ref="H16:J16"/>
    <mergeCell ref="H17:J17"/>
    <mergeCell ref="H18:J18"/>
    <mergeCell ref="H19:J19"/>
    <mergeCell ref="H23:J23"/>
    <mergeCell ref="H20:J20"/>
    <mergeCell ref="H21:J21"/>
    <mergeCell ref="H22:J22"/>
  </mergeCells>
  <phoneticPr fontId="11" type="noConversion"/>
  <pageMargins left="0.7" right="0.7" top="0.75" bottom="0.75" header="0.3" footer="0.3"/>
  <pageSetup paperSize="9" scale="6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CB1"/>
  <sheetViews>
    <sheetView topLeftCell="N1" workbookViewId="0">
      <selection activeCell="T18" activeCellId="1" sqref="A1:XFD1 T18"/>
    </sheetView>
  </sheetViews>
  <sheetFormatPr defaultRowHeight="16.5"/>
  <sheetData>
    <row r="1" spans="1:80" s="931" customFormat="1" ht="33" customHeight="1">
      <c r="A1" s="543" t="s">
        <v>323</v>
      </c>
      <c r="B1" s="923" t="s">
        <v>324</v>
      </c>
      <c r="C1" s="923" t="s">
        <v>325</v>
      </c>
      <c r="D1" s="923" t="s">
        <v>326</v>
      </c>
      <c r="E1" s="924" t="s">
        <v>327</v>
      </c>
      <c r="F1" s="925" t="s">
        <v>328</v>
      </c>
      <c r="G1" s="924" t="s">
        <v>329</v>
      </c>
      <c r="H1" s="926" t="s">
        <v>298</v>
      </c>
      <c r="I1" s="544" t="s">
        <v>330</v>
      </c>
      <c r="J1" s="926" t="s">
        <v>331</v>
      </c>
      <c r="K1" s="544" t="s">
        <v>332</v>
      </c>
      <c r="L1" s="927">
        <v>2526</v>
      </c>
      <c r="M1" s="928"/>
      <c r="N1" s="544" t="s">
        <v>302</v>
      </c>
      <c r="O1" s="927" t="s">
        <v>161</v>
      </c>
      <c r="P1" s="927">
        <v>706</v>
      </c>
      <c r="Q1" s="929"/>
      <c r="R1" s="927" t="s">
        <v>303</v>
      </c>
      <c r="S1" s="544" t="s">
        <v>304</v>
      </c>
      <c r="T1" s="544" t="s">
        <v>333</v>
      </c>
      <c r="U1" s="542"/>
      <c r="V1" s="542"/>
      <c r="W1" s="542" t="s">
        <v>305</v>
      </c>
      <c r="X1" s="542"/>
      <c r="Y1" s="542"/>
      <c r="Z1" s="542"/>
      <c r="AA1" s="542"/>
      <c r="AB1" s="542"/>
      <c r="AC1" s="542"/>
      <c r="AD1" s="542"/>
      <c r="AE1" s="542"/>
      <c r="AF1" s="930"/>
      <c r="AG1" s="930"/>
      <c r="AH1" s="930"/>
      <c r="AI1" s="930"/>
      <c r="AJ1" s="930"/>
      <c r="AK1" s="930"/>
      <c r="AL1" s="930"/>
      <c r="AM1" s="930"/>
      <c r="AN1" s="930"/>
      <c r="AO1" s="930"/>
      <c r="AP1" s="930"/>
      <c r="AQ1" s="930"/>
      <c r="AR1" s="930"/>
      <c r="AS1" s="930"/>
      <c r="AT1" s="930"/>
      <c r="AU1" s="930"/>
      <c r="AV1" s="930"/>
      <c r="AW1" s="930"/>
      <c r="AX1" s="930"/>
      <c r="AY1" s="930"/>
      <c r="AZ1" s="930"/>
      <c r="BA1" s="930"/>
      <c r="BB1" s="930"/>
      <c r="BC1" s="930"/>
      <c r="BD1" s="930"/>
      <c r="BE1" s="930"/>
      <c r="BF1" s="930"/>
      <c r="BG1" s="930"/>
      <c r="BH1" s="930"/>
      <c r="BI1" s="930"/>
      <c r="BJ1" s="930"/>
      <c r="BK1" s="930"/>
      <c r="BL1" s="930"/>
      <c r="BM1" s="930"/>
      <c r="BN1" s="930"/>
      <c r="BO1" s="930"/>
      <c r="BP1" s="930"/>
      <c r="BQ1" s="930"/>
      <c r="BR1" s="930"/>
      <c r="BS1" s="930"/>
      <c r="BT1" s="930"/>
      <c r="BU1" s="930"/>
      <c r="BV1" s="930"/>
      <c r="BW1" s="930"/>
      <c r="BX1" s="930"/>
      <c r="BY1" s="930"/>
      <c r="BZ1" s="930"/>
      <c r="CA1" s="930"/>
      <c r="CB1" s="930"/>
    </row>
  </sheetData>
  <phoneticPr fontId="11" type="noConversion"/>
  <dataValidations count="1">
    <dataValidation type="list" allowBlank="1" showInputMessage="1" showErrorMessage="1" sqref="S1:V1 JO1:JR1 TK1:TN1 ADG1:ADJ1 ANC1:ANF1 AWY1:AXB1 BGU1:BGX1 BQQ1:BQT1 CAM1:CAP1 CKI1:CKL1 CUE1:CUH1 DEA1:DED1 DNW1:DNZ1 DXS1:DXV1 EHO1:EHR1 ERK1:ERN1 FBG1:FBJ1 FLC1:FLF1 FUY1:FVB1 GEU1:GEX1 GOQ1:GOT1 GYM1:GYP1 HII1:HIL1 HSE1:HSH1 ICA1:ICD1 ILW1:ILZ1 IVS1:IVV1 JFO1:JFR1 JPK1:JPN1 JZG1:JZJ1 KJC1:KJF1 KSY1:KTB1 LCU1:LCX1 LMQ1:LMT1 LWM1:LWP1 MGI1:MGL1 MQE1:MQH1 NAA1:NAD1 NJW1:NJZ1 NTS1:NTV1 ODO1:ODR1 ONK1:ONN1 OXG1:OXJ1 PHC1:PHF1 PQY1:PRB1 QAU1:QAX1 QKQ1:QKT1 QUM1:QUP1 REI1:REL1 ROE1:ROH1 RYA1:RYD1 SHW1:SHZ1 SRS1:SRV1 TBO1:TBR1 TLK1:TLN1 TVG1:TVJ1 UFC1:UFF1 UOY1:UPB1 UYU1:UYX1 VIQ1:VIT1 VSM1:VSP1 WCI1:WCL1 WME1:WMH1 WWA1:WWD1 I1 JE1 TA1 ACW1 AMS1 AWO1 BGK1 BQG1 CAC1 CJY1 CTU1 DDQ1 DNM1 DXI1 EHE1 ERA1 FAW1 FKS1 FUO1 GEK1 GOG1 GYC1 HHY1 HRU1 IBQ1 ILM1 IVI1 JFE1 JPA1 JYW1 KIS1 KSO1 LCK1 LMG1 LWC1 MFY1 MPU1 MZQ1 NJM1 NTI1 ODE1 ONA1 OWW1 PGS1 PQO1 QAK1 QKG1 QUC1 RDY1 RNU1 RXQ1 SHM1 SRI1 TBE1 TLA1 TUW1 UES1 UOO1 UYK1 VIG1 VSC1 WBY1 WLU1 WVQ1 M1:N1 JI1:JJ1 TE1:TF1 ADA1:ADB1 AMW1:AMX1 AWS1:AWT1 BGO1:BGP1 BQK1:BQL1 CAG1:CAH1 CKC1:CKD1 CTY1:CTZ1 DDU1:DDV1 DNQ1:DNR1 DXM1:DXN1 EHI1:EHJ1 ERE1:ERF1 FBA1:FBB1 FKW1:FKX1 FUS1:FUT1 GEO1:GEP1 GOK1:GOL1 GYG1:GYH1 HIC1:HID1 HRY1:HRZ1 IBU1:IBV1 ILQ1:ILR1 IVM1:IVN1 JFI1:JFJ1 JPE1:JPF1 JZA1:JZB1 KIW1:KIX1 KSS1:KST1 LCO1:LCP1 LMK1:LML1 LWG1:LWH1 MGC1:MGD1 MPY1:MPZ1 MZU1:MZV1 NJQ1:NJR1 NTM1:NTN1 ODI1:ODJ1 ONE1:ONF1 OXA1:OXB1 PGW1:PGX1 PQS1:PQT1 QAO1:QAP1 QKK1:QKL1 QUG1:QUH1 REC1:RED1 RNY1:RNZ1 RXU1:RXV1 SHQ1:SHR1 SRM1:SRN1 TBI1:TBJ1 TLE1:TLF1 TVA1:TVB1 UEW1:UEX1 UOS1:UOT1 UYO1:UYP1 VIK1:VIL1 VSG1:VSH1 WCC1:WCD1 WLY1:WLZ1 WVU1:WVV1 X1:AD1 JT1:JZ1 TP1:TV1 ADL1:ADR1 ANH1:ANN1 AXD1:AXJ1 BGZ1:BHF1 BQV1:BRB1 CAR1:CAX1 CKN1:CKT1 CUJ1:CUP1 DEF1:DEL1 DOB1:DOH1 DXX1:DYD1 EHT1:EHZ1 ERP1:ERV1 FBL1:FBR1 FLH1:FLN1 FVD1:FVJ1 GEZ1:GFF1 GOV1:GPB1 GYR1:GYX1 HIN1:HIT1 HSJ1:HSP1 ICF1:ICL1 IMB1:IMH1 IVX1:IWD1 JFT1:JFZ1 JPP1:JPV1 JZL1:JZR1 KJH1:KJN1 KTD1:KTJ1 LCZ1:LDF1 LMV1:LNB1 LWR1:LWX1 MGN1:MGT1 MQJ1:MQP1 NAF1:NAL1 NKB1:NKH1 NTX1:NUD1 ODT1:ODZ1 ONP1:ONV1 OXL1:OXR1 PHH1:PHN1 PRD1:PRJ1 QAZ1:QBF1 QKV1:QLB1 QUR1:QUX1 REN1:RET1 ROJ1:ROP1 RYF1:RYL1 SIB1:SIH1 SRX1:SSD1 TBT1:TBZ1 TLP1:TLV1 TVL1:TVR1 UFH1:UFN1 UPD1:UPJ1 UYZ1:UZF1 VIV1:VJB1 VSR1:VSX1 WCN1:WCT1 WMJ1:WMP1 WWF1:WWL1" xr:uid="{93A195A8-03F1-4A13-9963-995F928F1DA6}">
      <formula1>CONN.</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EE78-F551-4952-8DE5-F586EF0D0DDF}">
  <sheetPr codeName="工作表7"/>
  <dimension ref="B1:BD9"/>
  <sheetViews>
    <sheetView topLeftCell="I1" zoomScale="85" zoomScaleNormal="85" workbookViewId="0">
      <selection activeCell="T15" sqref="T15"/>
    </sheetView>
  </sheetViews>
  <sheetFormatPr defaultRowHeight="16.5"/>
  <cols>
    <col min="1" max="1" width="9" style="345"/>
    <col min="2" max="2" width="8.375" style="345" bestFit="1" customWidth="1"/>
    <col min="3" max="4" width="7.625" style="345" bestFit="1" customWidth="1"/>
    <col min="5" max="7" width="5.5" style="345" bestFit="1" customWidth="1"/>
    <col min="8" max="8" width="5.625" style="345" bestFit="1" customWidth="1"/>
    <col min="9" max="9" width="6.125" style="345" bestFit="1" customWidth="1"/>
    <col min="10" max="10" width="4.5" style="345" bestFit="1" customWidth="1"/>
    <col min="11" max="11" width="5.125" style="345" bestFit="1" customWidth="1"/>
    <col min="12" max="13" width="7.5" style="345" bestFit="1" customWidth="1"/>
    <col min="14" max="14" width="9.25" style="345" bestFit="1" customWidth="1"/>
    <col min="15" max="15" width="6.25" style="345" customWidth="1"/>
    <col min="16" max="18" width="7.625" style="345" bestFit="1" customWidth="1"/>
    <col min="19" max="22" width="5.5" style="345" bestFit="1" customWidth="1"/>
    <col min="23" max="23" width="7" style="345" bestFit="1" customWidth="1"/>
    <col min="24" max="24" width="4.5" style="345" bestFit="1" customWidth="1"/>
    <col min="25" max="25" width="5.125" style="345" bestFit="1" customWidth="1"/>
    <col min="26" max="27" width="7.5" style="345" bestFit="1" customWidth="1"/>
    <col min="28" max="28" width="7.125" style="345" bestFit="1" customWidth="1"/>
    <col min="29" max="29" width="5.75" style="345" customWidth="1"/>
    <col min="30" max="32" width="7.875" style="345" bestFit="1" customWidth="1"/>
    <col min="33" max="36" width="5.75" style="345" bestFit="1" customWidth="1"/>
    <col min="37" max="37" width="6.5" style="345" bestFit="1" customWidth="1"/>
    <col min="38" max="38" width="4.875" style="345" bestFit="1" customWidth="1"/>
    <col min="39" max="39" width="5.625" style="345" bestFit="1" customWidth="1"/>
    <col min="40" max="41" width="7.625" style="345" bestFit="1" customWidth="1"/>
    <col min="42" max="42" width="11.75" style="345" bestFit="1" customWidth="1"/>
    <col min="43" max="16384" width="9" style="345"/>
  </cols>
  <sheetData>
    <row r="1" spans="2:56">
      <c r="B1" s="363" t="s">
        <v>235</v>
      </c>
      <c r="C1" s="281" t="s">
        <v>235</v>
      </c>
      <c r="D1" s="281" t="s">
        <v>235</v>
      </c>
      <c r="E1" s="244" t="s">
        <v>156</v>
      </c>
      <c r="F1" s="244" t="s">
        <v>156</v>
      </c>
      <c r="G1" s="244" t="s">
        <v>156</v>
      </c>
      <c r="H1" s="244" t="s">
        <v>156</v>
      </c>
      <c r="I1" s="139" t="s">
        <v>156</v>
      </c>
      <c r="J1" s="188" t="s">
        <v>186</v>
      </c>
      <c r="K1" s="397" t="s">
        <v>186</v>
      </c>
      <c r="L1" s="387" t="s">
        <v>282</v>
      </c>
      <c r="M1" s="388" t="s">
        <v>282</v>
      </c>
      <c r="N1" s="921" t="s">
        <v>84</v>
      </c>
      <c r="P1" s="363" t="s">
        <v>235</v>
      </c>
      <c r="Q1" s="281" t="s">
        <v>235</v>
      </c>
      <c r="R1" s="281" t="s">
        <v>235</v>
      </c>
      <c r="S1" s="244" t="s">
        <v>156</v>
      </c>
      <c r="T1" s="244" t="s">
        <v>156</v>
      </c>
      <c r="U1" s="244" t="s">
        <v>156</v>
      </c>
      <c r="V1" s="244" t="s">
        <v>156</v>
      </c>
      <c r="W1" s="139" t="s">
        <v>156</v>
      </c>
      <c r="X1" s="188" t="s">
        <v>186</v>
      </c>
      <c r="Y1" s="397" t="s">
        <v>186</v>
      </c>
      <c r="Z1" s="387" t="s">
        <v>282</v>
      </c>
      <c r="AA1" s="388" t="s">
        <v>282</v>
      </c>
      <c r="AB1" s="921" t="s">
        <v>84</v>
      </c>
      <c r="AD1" s="363" t="s">
        <v>235</v>
      </c>
      <c r="AE1" s="281" t="s">
        <v>235</v>
      </c>
      <c r="AF1" s="281" t="s">
        <v>235</v>
      </c>
      <c r="AG1" s="244" t="s">
        <v>156</v>
      </c>
      <c r="AH1" s="244" t="s">
        <v>156</v>
      </c>
      <c r="AI1" s="244" t="s">
        <v>156</v>
      </c>
      <c r="AJ1" s="244" t="s">
        <v>156</v>
      </c>
      <c r="AK1" s="139" t="s">
        <v>156</v>
      </c>
      <c r="AL1" s="188" t="s">
        <v>186</v>
      </c>
      <c r="AM1" s="397" t="s">
        <v>186</v>
      </c>
      <c r="AN1" s="387" t="s">
        <v>282</v>
      </c>
      <c r="AO1" s="388" t="s">
        <v>282</v>
      </c>
      <c r="AP1" s="666" t="s">
        <v>84</v>
      </c>
      <c r="AR1" s="363" t="s">
        <v>235</v>
      </c>
      <c r="AS1" s="281" t="s">
        <v>235</v>
      </c>
      <c r="AT1" s="281" t="s">
        <v>235</v>
      </c>
      <c r="AU1" s="244" t="s">
        <v>156</v>
      </c>
      <c r="AV1" s="244" t="s">
        <v>156</v>
      </c>
      <c r="AW1" s="244" t="s">
        <v>156</v>
      </c>
      <c r="AX1" s="244" t="s">
        <v>156</v>
      </c>
      <c r="AY1" s="139" t="s">
        <v>156</v>
      </c>
      <c r="AZ1" s="188" t="s">
        <v>186</v>
      </c>
      <c r="BA1" s="397" t="s">
        <v>186</v>
      </c>
      <c r="BB1" s="387" t="s">
        <v>282</v>
      </c>
      <c r="BC1" s="388" t="s">
        <v>282</v>
      </c>
      <c r="BD1" s="666" t="s">
        <v>84</v>
      </c>
    </row>
    <row r="2" spans="2:56">
      <c r="B2" s="362">
        <v>1.5</v>
      </c>
      <c r="C2" s="282">
        <v>1</v>
      </c>
      <c r="D2" s="361">
        <v>0.8</v>
      </c>
      <c r="E2" s="192">
        <v>1.5</v>
      </c>
      <c r="F2" s="191">
        <v>3</v>
      </c>
      <c r="G2" s="189">
        <v>1.5</v>
      </c>
      <c r="H2" s="192">
        <v>1.5</v>
      </c>
      <c r="I2" s="189">
        <v>5</v>
      </c>
      <c r="J2" s="189">
        <v>1</v>
      </c>
      <c r="K2" s="360">
        <v>10</v>
      </c>
      <c r="L2" s="389" t="s">
        <v>283</v>
      </c>
      <c r="M2" s="390" t="s">
        <v>284</v>
      </c>
      <c r="N2" s="922"/>
      <c r="P2" s="362">
        <v>1.5</v>
      </c>
      <c r="Q2" s="282">
        <v>1</v>
      </c>
      <c r="R2" s="361">
        <v>0.8</v>
      </c>
      <c r="S2" s="192">
        <v>1.5</v>
      </c>
      <c r="T2" s="191">
        <v>3</v>
      </c>
      <c r="U2" s="189">
        <v>1.5</v>
      </c>
      <c r="V2" s="192">
        <v>1.5</v>
      </c>
      <c r="W2" s="189">
        <v>5</v>
      </c>
      <c r="X2" s="189">
        <v>1</v>
      </c>
      <c r="Y2" s="360">
        <v>10</v>
      </c>
      <c r="Z2" s="389" t="s">
        <v>283</v>
      </c>
      <c r="AA2" s="390" t="s">
        <v>284</v>
      </c>
      <c r="AB2" s="922"/>
      <c r="AD2" s="362">
        <v>1.5</v>
      </c>
      <c r="AE2" s="282">
        <v>1</v>
      </c>
      <c r="AF2" s="361">
        <v>0.8</v>
      </c>
      <c r="AG2" s="192">
        <v>1.5</v>
      </c>
      <c r="AH2" s="191">
        <v>3</v>
      </c>
      <c r="AI2" s="189">
        <v>1.5</v>
      </c>
      <c r="AJ2" s="192">
        <v>1.5</v>
      </c>
      <c r="AK2" s="189">
        <v>5</v>
      </c>
      <c r="AL2" s="189">
        <v>1</v>
      </c>
      <c r="AM2" s="360">
        <v>10</v>
      </c>
      <c r="AN2" s="389" t="s">
        <v>283</v>
      </c>
      <c r="AO2" s="390" t="s">
        <v>284</v>
      </c>
      <c r="AP2" s="667"/>
      <c r="AR2" s="362">
        <v>1.5</v>
      </c>
      <c r="AS2" s="282">
        <v>1</v>
      </c>
      <c r="AT2" s="361">
        <v>0.8</v>
      </c>
      <c r="AU2" s="192">
        <v>1.5</v>
      </c>
      <c r="AV2" s="191">
        <v>3</v>
      </c>
      <c r="AW2" s="189">
        <v>1.5</v>
      </c>
      <c r="AX2" s="192">
        <v>1.5</v>
      </c>
      <c r="AY2" s="189">
        <v>5</v>
      </c>
      <c r="AZ2" s="189">
        <v>1</v>
      </c>
      <c r="BA2" s="360">
        <v>10</v>
      </c>
      <c r="BB2" s="389" t="s">
        <v>283</v>
      </c>
      <c r="BC2" s="390" t="s">
        <v>284</v>
      </c>
      <c r="BD2" s="667"/>
    </row>
    <row r="3" spans="2:56" ht="17.25" thickBot="1">
      <c r="B3" s="359" t="s">
        <v>88</v>
      </c>
      <c r="C3" s="358" t="s">
        <v>89</v>
      </c>
      <c r="D3" s="358" t="s">
        <v>90</v>
      </c>
      <c r="E3" s="357" t="s">
        <v>91</v>
      </c>
      <c r="F3" s="357" t="s">
        <v>92</v>
      </c>
      <c r="G3" s="357" t="s">
        <v>185</v>
      </c>
      <c r="H3" s="357" t="s">
        <v>93</v>
      </c>
      <c r="I3" s="357" t="s">
        <v>94</v>
      </c>
      <c r="J3" s="357" t="s">
        <v>187</v>
      </c>
      <c r="K3" s="356" t="s">
        <v>96</v>
      </c>
      <c r="L3" s="398"/>
      <c r="M3" s="399"/>
      <c r="N3" s="922"/>
      <c r="P3" s="359" t="s">
        <v>88</v>
      </c>
      <c r="Q3" s="358" t="s">
        <v>89</v>
      </c>
      <c r="R3" s="358" t="s">
        <v>90</v>
      </c>
      <c r="S3" s="357" t="s">
        <v>91</v>
      </c>
      <c r="T3" s="357" t="s">
        <v>92</v>
      </c>
      <c r="U3" s="357" t="s">
        <v>185</v>
      </c>
      <c r="V3" s="357" t="s">
        <v>93</v>
      </c>
      <c r="W3" s="357" t="s">
        <v>94</v>
      </c>
      <c r="X3" s="357" t="s">
        <v>187</v>
      </c>
      <c r="Y3" s="356" t="s">
        <v>96</v>
      </c>
      <c r="Z3" s="398"/>
      <c r="AA3" s="399"/>
      <c r="AB3" s="922"/>
      <c r="AD3" s="359" t="s">
        <v>88</v>
      </c>
      <c r="AE3" s="358" t="s">
        <v>89</v>
      </c>
      <c r="AF3" s="358" t="s">
        <v>90</v>
      </c>
      <c r="AG3" s="357" t="s">
        <v>91</v>
      </c>
      <c r="AH3" s="357" t="s">
        <v>92</v>
      </c>
      <c r="AI3" s="357" t="s">
        <v>185</v>
      </c>
      <c r="AJ3" s="357" t="s">
        <v>93</v>
      </c>
      <c r="AK3" s="357" t="s">
        <v>94</v>
      </c>
      <c r="AL3" s="357" t="s">
        <v>187</v>
      </c>
      <c r="AM3" s="356" t="s">
        <v>96</v>
      </c>
      <c r="AN3" s="398"/>
      <c r="AO3" s="399"/>
      <c r="AP3" s="667"/>
      <c r="AR3" s="359" t="s">
        <v>88</v>
      </c>
      <c r="AS3" s="358" t="s">
        <v>89</v>
      </c>
      <c r="AT3" s="358" t="s">
        <v>90</v>
      </c>
      <c r="AU3" s="357" t="s">
        <v>91</v>
      </c>
      <c r="AV3" s="357" t="s">
        <v>92</v>
      </c>
      <c r="AW3" s="357" t="s">
        <v>185</v>
      </c>
      <c r="AX3" s="357" t="s">
        <v>93</v>
      </c>
      <c r="AY3" s="357" t="s">
        <v>94</v>
      </c>
      <c r="AZ3" s="357" t="s">
        <v>187</v>
      </c>
      <c r="BA3" s="356" t="s">
        <v>96</v>
      </c>
      <c r="BB3" s="398"/>
      <c r="BC3" s="399"/>
      <c r="BD3" s="667"/>
    </row>
    <row r="4" spans="2:56" ht="21.75" thickBot="1">
      <c r="B4" s="355" t="s">
        <v>154</v>
      </c>
      <c r="C4" s="268">
        <v>1.8</v>
      </c>
      <c r="D4" s="268">
        <v>1.8</v>
      </c>
      <c r="E4" s="268">
        <v>1.8</v>
      </c>
      <c r="F4" s="354">
        <v>1.8</v>
      </c>
      <c r="G4" s="354">
        <v>1.8</v>
      </c>
      <c r="H4" s="353" t="s">
        <v>102</v>
      </c>
      <c r="I4" s="268" t="s">
        <v>98</v>
      </c>
      <c r="J4" s="268" t="s">
        <v>98</v>
      </c>
      <c r="K4" s="331" t="s">
        <v>98</v>
      </c>
      <c r="L4" s="309">
        <v>3</v>
      </c>
      <c r="M4" s="309">
        <v>9.1</v>
      </c>
      <c r="N4" s="400" t="s">
        <v>239</v>
      </c>
      <c r="P4" s="349" t="s">
        <v>275</v>
      </c>
      <c r="Q4" s="348" t="s">
        <v>275</v>
      </c>
      <c r="R4" s="348" t="s">
        <v>275</v>
      </c>
      <c r="S4" s="348" t="s">
        <v>275</v>
      </c>
      <c r="T4" s="348" t="s">
        <v>275</v>
      </c>
      <c r="U4" s="348" t="s">
        <v>275</v>
      </c>
      <c r="V4" s="348" t="s">
        <v>275</v>
      </c>
      <c r="W4" s="347" t="s">
        <v>252</v>
      </c>
      <c r="X4" s="307">
        <v>6.5</v>
      </c>
      <c r="Y4" s="317">
        <v>3.5</v>
      </c>
      <c r="Z4" s="381">
        <v>3</v>
      </c>
      <c r="AA4" s="536">
        <v>75.3</v>
      </c>
      <c r="AB4" s="373" t="s">
        <v>251</v>
      </c>
      <c r="AD4" s="457">
        <v>2</v>
      </c>
      <c r="AE4" s="458">
        <v>2</v>
      </c>
      <c r="AF4" s="459">
        <v>2</v>
      </c>
      <c r="AG4" s="458">
        <v>2</v>
      </c>
      <c r="AH4" s="458">
        <v>2</v>
      </c>
      <c r="AI4" s="458">
        <v>2</v>
      </c>
      <c r="AJ4" s="458">
        <v>2</v>
      </c>
      <c r="AK4" s="459" t="s">
        <v>98</v>
      </c>
      <c r="AL4" s="458">
        <v>2</v>
      </c>
      <c r="AM4" s="459" t="s">
        <v>98</v>
      </c>
      <c r="AN4" s="456">
        <v>2</v>
      </c>
      <c r="AO4" s="456">
        <v>19</v>
      </c>
      <c r="AP4" s="404" t="s">
        <v>286</v>
      </c>
      <c r="AR4" s="309" t="s">
        <v>98</v>
      </c>
      <c r="AS4" s="309" t="s">
        <v>98</v>
      </c>
      <c r="AT4" s="309" t="s">
        <v>98</v>
      </c>
      <c r="AU4" s="309" t="s">
        <v>98</v>
      </c>
      <c r="AV4" s="309" t="s">
        <v>98</v>
      </c>
      <c r="AW4" s="309" t="s">
        <v>98</v>
      </c>
      <c r="AX4" s="309" t="s">
        <v>98</v>
      </c>
      <c r="AY4" s="309" t="s">
        <v>98</v>
      </c>
      <c r="AZ4" s="309" t="s">
        <v>98</v>
      </c>
      <c r="BA4" s="412">
        <v>3.03</v>
      </c>
      <c r="BB4" s="409">
        <v>3</v>
      </c>
      <c r="BC4" s="410" t="s">
        <v>288</v>
      </c>
      <c r="BD4" s="411" t="s">
        <v>289</v>
      </c>
    </row>
    <row r="5" spans="2:56" ht="21.75" thickBot="1">
      <c r="B5" s="352" t="s">
        <v>265</v>
      </c>
      <c r="C5" s="309">
        <v>1.5</v>
      </c>
      <c r="D5" s="309">
        <v>1.5</v>
      </c>
      <c r="E5" s="309">
        <v>1.5</v>
      </c>
      <c r="F5" s="330">
        <v>1.5</v>
      </c>
      <c r="G5" s="330">
        <v>1.5</v>
      </c>
      <c r="H5" s="347" t="s">
        <v>266</v>
      </c>
      <c r="I5" s="309" t="s">
        <v>98</v>
      </c>
      <c r="J5" s="309" t="s">
        <v>98</v>
      </c>
      <c r="K5" s="317" t="s">
        <v>98</v>
      </c>
      <c r="L5" s="309">
        <v>2</v>
      </c>
      <c r="M5" s="309">
        <v>9.1</v>
      </c>
      <c r="N5" s="400" t="s">
        <v>267</v>
      </c>
      <c r="P5" s="349" t="s">
        <v>98</v>
      </c>
      <c r="Q5" s="348" t="s">
        <v>98</v>
      </c>
      <c r="R5" s="348" t="s">
        <v>98</v>
      </c>
      <c r="S5" s="348" t="s">
        <v>98</v>
      </c>
      <c r="T5" s="348" t="s">
        <v>98</v>
      </c>
      <c r="U5" s="348" t="s">
        <v>98</v>
      </c>
      <c r="V5" s="348" t="s">
        <v>98</v>
      </c>
      <c r="W5" s="347" t="s">
        <v>274</v>
      </c>
      <c r="X5" s="307">
        <v>6.5</v>
      </c>
      <c r="Y5" s="317">
        <v>2.5</v>
      </c>
      <c r="Z5" s="381">
        <v>2</v>
      </c>
      <c r="AA5" s="381">
        <f>AA4</f>
        <v>75.3</v>
      </c>
      <c r="AB5" s="373" t="s">
        <v>278</v>
      </c>
      <c r="AD5" s="457">
        <v>1.5</v>
      </c>
      <c r="AE5" s="458">
        <v>1.5</v>
      </c>
      <c r="AF5" s="459">
        <v>1.5</v>
      </c>
      <c r="AG5" s="458">
        <v>1.5</v>
      </c>
      <c r="AH5" s="458">
        <v>1.5</v>
      </c>
      <c r="AI5" s="458">
        <v>1.5</v>
      </c>
      <c r="AJ5" s="458">
        <v>1.5</v>
      </c>
      <c r="AK5" s="459" t="s">
        <v>98</v>
      </c>
      <c r="AL5" s="458">
        <v>1.5</v>
      </c>
      <c r="AM5" s="459" t="s">
        <v>98</v>
      </c>
      <c r="AN5" s="456">
        <v>1.5</v>
      </c>
      <c r="AO5" s="456">
        <v>19</v>
      </c>
      <c r="AP5" s="404" t="s">
        <v>287</v>
      </c>
      <c r="AR5" s="309" t="s">
        <v>98</v>
      </c>
      <c r="AS5" s="309" t="s">
        <v>98</v>
      </c>
      <c r="AT5" s="309" t="s">
        <v>98</v>
      </c>
      <c r="AU5" s="412">
        <v>3.03</v>
      </c>
      <c r="AV5" s="412">
        <v>3.03</v>
      </c>
      <c r="AW5" s="412">
        <v>3.03</v>
      </c>
      <c r="AX5" s="412">
        <v>3.03</v>
      </c>
      <c r="AY5" s="412">
        <v>3.03</v>
      </c>
      <c r="AZ5" s="309" t="s">
        <v>98</v>
      </c>
      <c r="BA5" s="412">
        <v>3.03</v>
      </c>
      <c r="BB5" s="409">
        <v>3</v>
      </c>
      <c r="BC5" s="410" t="s">
        <v>288</v>
      </c>
      <c r="BD5" s="411" t="s">
        <v>290</v>
      </c>
    </row>
    <row r="6" spans="2:56">
      <c r="B6" s="351" t="s">
        <v>263</v>
      </c>
      <c r="C6" s="308">
        <v>0.6</v>
      </c>
      <c r="D6" s="329">
        <v>0.6</v>
      </c>
      <c r="E6" s="329">
        <v>0.6</v>
      </c>
      <c r="F6" s="309" t="s">
        <v>98</v>
      </c>
      <c r="G6" s="309" t="s">
        <v>98</v>
      </c>
      <c r="H6" s="309" t="s">
        <v>98</v>
      </c>
      <c r="I6" s="309" t="s">
        <v>98</v>
      </c>
      <c r="J6" s="309" t="s">
        <v>98</v>
      </c>
      <c r="K6" s="317" t="s">
        <v>98</v>
      </c>
      <c r="L6" s="309">
        <v>1</v>
      </c>
      <c r="M6" s="309">
        <v>9.1</v>
      </c>
      <c r="N6" s="400" t="s">
        <v>264</v>
      </c>
      <c r="P6" s="349" t="s">
        <v>98</v>
      </c>
      <c r="Q6" s="348" t="s">
        <v>98</v>
      </c>
      <c r="R6" s="348" t="s">
        <v>98</v>
      </c>
      <c r="S6" s="348" t="s">
        <v>98</v>
      </c>
      <c r="T6" s="348" t="s">
        <v>98</v>
      </c>
      <c r="U6" s="348" t="s">
        <v>98</v>
      </c>
      <c r="V6" s="348" t="s">
        <v>98</v>
      </c>
      <c r="W6" s="347" t="s">
        <v>252</v>
      </c>
      <c r="X6" s="307">
        <v>6.5</v>
      </c>
      <c r="Y6" s="317" t="s">
        <v>98</v>
      </c>
      <c r="Z6" s="381">
        <v>3</v>
      </c>
      <c r="AA6" s="381">
        <f>AA5</f>
        <v>75.3</v>
      </c>
      <c r="AB6" s="373" t="s">
        <v>268</v>
      </c>
    </row>
    <row r="7" spans="2:56">
      <c r="B7" s="351" t="s">
        <v>277</v>
      </c>
      <c r="C7" s="308">
        <v>0.3</v>
      </c>
      <c r="D7" s="329">
        <v>0.3</v>
      </c>
      <c r="E7" s="329">
        <v>0.3</v>
      </c>
      <c r="F7" s="309" t="s">
        <v>98</v>
      </c>
      <c r="G7" s="309" t="s">
        <v>98</v>
      </c>
      <c r="H7" s="309" t="s">
        <v>98</v>
      </c>
      <c r="I7" s="309" t="s">
        <v>98</v>
      </c>
      <c r="J7" s="309" t="s">
        <v>98</v>
      </c>
      <c r="K7" s="317" t="s">
        <v>98</v>
      </c>
      <c r="L7" s="309">
        <v>0.5</v>
      </c>
      <c r="M7" s="309">
        <v>9.1</v>
      </c>
      <c r="N7" s="400" t="s">
        <v>276</v>
      </c>
      <c r="P7" s="349" t="s">
        <v>275</v>
      </c>
      <c r="Q7" s="348" t="s">
        <v>275</v>
      </c>
      <c r="R7" s="348" t="s">
        <v>275</v>
      </c>
      <c r="S7" s="348" t="s">
        <v>275</v>
      </c>
      <c r="T7" s="348" t="s">
        <v>275</v>
      </c>
      <c r="U7" s="348" t="s">
        <v>275</v>
      </c>
      <c r="V7" s="348" t="s">
        <v>275</v>
      </c>
      <c r="W7" s="347" t="s">
        <v>274</v>
      </c>
      <c r="X7" s="307">
        <v>6.5</v>
      </c>
      <c r="Y7" s="317" t="s">
        <v>98</v>
      </c>
      <c r="Z7" s="381">
        <v>2</v>
      </c>
      <c r="AA7" s="381">
        <f>AA6</f>
        <v>75.3</v>
      </c>
      <c r="AB7" s="373" t="s">
        <v>273</v>
      </c>
    </row>
    <row r="8" spans="2:56" ht="21">
      <c r="B8" s="350" t="s">
        <v>259</v>
      </c>
      <c r="C8" s="309">
        <v>1.8</v>
      </c>
      <c r="D8" s="309">
        <v>1.8</v>
      </c>
      <c r="E8" s="309">
        <v>1.8</v>
      </c>
      <c r="F8" s="330">
        <v>1.8</v>
      </c>
      <c r="G8" s="330">
        <v>1.8</v>
      </c>
      <c r="H8" s="347" t="s">
        <v>102</v>
      </c>
      <c r="I8" s="309" t="s">
        <v>98</v>
      </c>
      <c r="J8" s="309" t="s">
        <v>98</v>
      </c>
      <c r="K8" s="377" t="s">
        <v>98</v>
      </c>
      <c r="L8" s="330">
        <v>3</v>
      </c>
      <c r="M8" s="330">
        <v>9.1</v>
      </c>
      <c r="N8" s="401" t="s">
        <v>260</v>
      </c>
      <c r="P8" s="349" t="s">
        <v>98</v>
      </c>
      <c r="Q8" s="348" t="s">
        <v>98</v>
      </c>
      <c r="R8" s="348" t="s">
        <v>98</v>
      </c>
      <c r="S8" s="348" t="s">
        <v>98</v>
      </c>
      <c r="T8" s="348" t="s">
        <v>98</v>
      </c>
      <c r="U8" s="348" t="s">
        <v>98</v>
      </c>
      <c r="V8" s="348" t="s">
        <v>98</v>
      </c>
      <c r="W8" s="347">
        <v>0.8</v>
      </c>
      <c r="X8" s="307">
        <v>6.5</v>
      </c>
      <c r="Y8" s="317" t="s">
        <v>98</v>
      </c>
      <c r="Z8" s="402">
        <v>0.8</v>
      </c>
      <c r="AA8" s="381">
        <f>AA7</f>
        <v>75.3</v>
      </c>
      <c r="AB8" s="373" t="s">
        <v>272</v>
      </c>
    </row>
    <row r="9" spans="2:56" ht="21">
      <c r="B9" s="350" t="s">
        <v>271</v>
      </c>
      <c r="C9" s="309">
        <v>1.5</v>
      </c>
      <c r="D9" s="309">
        <v>1.5</v>
      </c>
      <c r="E9" s="309">
        <v>1.5</v>
      </c>
      <c r="F9" s="330">
        <v>1.5</v>
      </c>
      <c r="G9" s="330">
        <v>1.5</v>
      </c>
      <c r="H9" s="347" t="s">
        <v>266</v>
      </c>
      <c r="I9" s="309" t="s">
        <v>98</v>
      </c>
      <c r="J9" s="309" t="s">
        <v>98</v>
      </c>
      <c r="K9" s="317" t="s">
        <v>98</v>
      </c>
      <c r="L9" s="309">
        <v>2</v>
      </c>
      <c r="M9" s="309">
        <v>9.1</v>
      </c>
      <c r="N9" s="401" t="s">
        <v>270</v>
      </c>
      <c r="P9" s="349"/>
      <c r="Q9" s="348"/>
      <c r="R9" s="348"/>
      <c r="S9" s="348"/>
      <c r="T9" s="348"/>
      <c r="U9" s="348"/>
      <c r="V9" s="348"/>
      <c r="W9" s="347"/>
      <c r="X9" s="307"/>
      <c r="Y9" s="317"/>
      <c r="Z9" s="309"/>
      <c r="AA9" s="309"/>
      <c r="AB9" s="373"/>
    </row>
  </sheetData>
  <mergeCells count="4">
    <mergeCell ref="N1:N3"/>
    <mergeCell ref="AB1:AB3"/>
    <mergeCell ref="AP1:AP3"/>
    <mergeCell ref="BD1:BD3"/>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7702-0E75-4253-8CD4-580701EDB424}">
  <sheetPr codeName="工作表8"/>
  <dimension ref="A1:AY13"/>
  <sheetViews>
    <sheetView topLeftCell="L1" workbookViewId="0">
      <selection activeCell="X4" sqref="X4"/>
    </sheetView>
  </sheetViews>
  <sheetFormatPr defaultRowHeight="16.5"/>
  <cols>
    <col min="1" max="1" width="8.375" style="345" bestFit="1" customWidth="1"/>
    <col min="2" max="7" width="6.125" style="345" bestFit="1" customWidth="1"/>
    <col min="8" max="8" width="4.5" style="345" bestFit="1" customWidth="1"/>
    <col min="9" max="9" width="6.75" style="345" bestFit="1" customWidth="1"/>
    <col min="10" max="11" width="7.5" style="345" bestFit="1" customWidth="1"/>
    <col min="12" max="12" width="9.25" style="345" bestFit="1" customWidth="1"/>
    <col min="13" max="13" width="13.875" style="345" customWidth="1"/>
    <col min="14" max="14" width="6.625" style="345" bestFit="1" customWidth="1"/>
    <col min="15" max="19" width="6.125" style="345" bestFit="1" customWidth="1"/>
    <col min="20" max="20" width="7" style="345" bestFit="1" customWidth="1"/>
    <col min="21" max="21" width="4.5" style="345" bestFit="1" customWidth="1"/>
    <col min="22" max="22" width="6.75" style="345" bestFit="1" customWidth="1"/>
    <col min="23" max="24" width="7.5" style="345" bestFit="1" customWidth="1"/>
    <col min="25" max="25" width="7.125" style="345" bestFit="1" customWidth="1"/>
    <col min="26" max="26" width="9" style="345"/>
    <col min="27" max="27" width="6.625" style="345" bestFit="1" customWidth="1"/>
    <col min="28" max="33" width="6.125" style="345" bestFit="1" customWidth="1"/>
    <col min="34" max="34" width="4.5" style="345" bestFit="1" customWidth="1"/>
    <col min="35" max="35" width="6.75" style="345" bestFit="1" customWidth="1"/>
    <col min="36" max="37" width="7.5" style="345" bestFit="1" customWidth="1"/>
    <col min="38" max="38" width="11.375" style="345" bestFit="1" customWidth="1"/>
    <col min="39" max="16384" width="9" style="345"/>
  </cols>
  <sheetData>
    <row r="1" spans="1:51">
      <c r="A1" s="139" t="s">
        <v>246</v>
      </c>
      <c r="B1" s="139" t="s">
        <v>83</v>
      </c>
      <c r="C1" s="334" t="s">
        <v>83</v>
      </c>
      <c r="D1" s="334" t="s">
        <v>83</v>
      </c>
      <c r="E1" s="139" t="s">
        <v>156</v>
      </c>
      <c r="F1" s="139" t="s">
        <v>156</v>
      </c>
      <c r="G1" s="139" t="s">
        <v>156</v>
      </c>
      <c r="H1" s="188" t="s">
        <v>186</v>
      </c>
      <c r="I1" s="141" t="s">
        <v>215</v>
      </c>
      <c r="J1" s="387" t="s">
        <v>282</v>
      </c>
      <c r="K1" s="388" t="s">
        <v>282</v>
      </c>
      <c r="L1" s="653" t="s">
        <v>84</v>
      </c>
      <c r="N1" s="139" t="s">
        <v>246</v>
      </c>
      <c r="O1" s="139" t="s">
        <v>83</v>
      </c>
      <c r="P1" s="334" t="s">
        <v>83</v>
      </c>
      <c r="Q1" s="334" t="s">
        <v>83</v>
      </c>
      <c r="R1" s="139" t="s">
        <v>156</v>
      </c>
      <c r="S1" s="139" t="s">
        <v>156</v>
      </c>
      <c r="T1" s="139" t="s">
        <v>156</v>
      </c>
      <c r="U1" s="188" t="s">
        <v>186</v>
      </c>
      <c r="V1" s="141" t="s">
        <v>215</v>
      </c>
      <c r="W1" s="387" t="s">
        <v>282</v>
      </c>
      <c r="X1" s="388" t="s">
        <v>282</v>
      </c>
      <c r="Y1" s="653" t="s">
        <v>84</v>
      </c>
      <c r="AA1" s="139" t="s">
        <v>246</v>
      </c>
      <c r="AB1" s="139" t="s">
        <v>83</v>
      </c>
      <c r="AC1" s="334" t="s">
        <v>83</v>
      </c>
      <c r="AD1" s="334" t="s">
        <v>83</v>
      </c>
      <c r="AE1" s="139" t="s">
        <v>156</v>
      </c>
      <c r="AF1" s="139" t="s">
        <v>156</v>
      </c>
      <c r="AG1" s="139" t="s">
        <v>156</v>
      </c>
      <c r="AH1" s="188" t="s">
        <v>186</v>
      </c>
      <c r="AI1" s="141" t="s">
        <v>215</v>
      </c>
      <c r="AJ1" s="387" t="s">
        <v>282</v>
      </c>
      <c r="AK1" s="388" t="s">
        <v>282</v>
      </c>
      <c r="AL1" s="653" t="s">
        <v>84</v>
      </c>
      <c r="AN1" s="139" t="s">
        <v>246</v>
      </c>
      <c r="AO1" s="139" t="s">
        <v>83</v>
      </c>
      <c r="AP1" s="334" t="s">
        <v>83</v>
      </c>
      <c r="AQ1" s="334" t="s">
        <v>83</v>
      </c>
      <c r="AR1" s="139" t="s">
        <v>156</v>
      </c>
      <c r="AS1" s="139" t="s">
        <v>156</v>
      </c>
      <c r="AT1" s="139" t="s">
        <v>156</v>
      </c>
      <c r="AU1" s="188" t="s">
        <v>186</v>
      </c>
      <c r="AV1" s="141" t="s">
        <v>215</v>
      </c>
      <c r="AW1" s="387" t="s">
        <v>282</v>
      </c>
      <c r="AX1" s="388" t="s">
        <v>282</v>
      </c>
      <c r="AY1" s="653" t="s">
        <v>84</v>
      </c>
    </row>
    <row r="2" spans="1:51">
      <c r="A2" s="140">
        <v>1.6</v>
      </c>
      <c r="B2" s="140">
        <v>0.8</v>
      </c>
      <c r="C2" s="335">
        <v>1</v>
      </c>
      <c r="D2" s="335">
        <v>3</v>
      </c>
      <c r="E2" s="189">
        <v>1.5</v>
      </c>
      <c r="F2" s="143">
        <v>3</v>
      </c>
      <c r="G2" s="189">
        <v>5</v>
      </c>
      <c r="H2" s="189">
        <v>1</v>
      </c>
      <c r="I2" s="143">
        <v>10</v>
      </c>
      <c r="J2" s="389" t="s">
        <v>283</v>
      </c>
      <c r="K2" s="390" t="s">
        <v>284</v>
      </c>
      <c r="L2" s="654"/>
      <c r="N2" s="140">
        <v>1.6</v>
      </c>
      <c r="O2" s="140">
        <v>0.8</v>
      </c>
      <c r="P2" s="335">
        <v>1</v>
      </c>
      <c r="Q2" s="335">
        <v>3</v>
      </c>
      <c r="R2" s="189">
        <v>1.5</v>
      </c>
      <c r="S2" s="143">
        <v>3</v>
      </c>
      <c r="T2" s="189">
        <v>5</v>
      </c>
      <c r="U2" s="189">
        <v>1</v>
      </c>
      <c r="V2" s="143">
        <v>10</v>
      </c>
      <c r="W2" s="389" t="s">
        <v>283</v>
      </c>
      <c r="X2" s="390" t="s">
        <v>284</v>
      </c>
      <c r="Y2" s="654"/>
      <c r="AA2" s="140">
        <v>1.6</v>
      </c>
      <c r="AB2" s="140">
        <v>0.8</v>
      </c>
      <c r="AC2" s="335">
        <v>1</v>
      </c>
      <c r="AD2" s="335">
        <v>3</v>
      </c>
      <c r="AE2" s="189">
        <v>1.5</v>
      </c>
      <c r="AF2" s="143">
        <v>3</v>
      </c>
      <c r="AG2" s="189">
        <v>5</v>
      </c>
      <c r="AH2" s="189">
        <v>1</v>
      </c>
      <c r="AI2" s="143">
        <v>10</v>
      </c>
      <c r="AJ2" s="389" t="s">
        <v>283</v>
      </c>
      <c r="AK2" s="390" t="s">
        <v>284</v>
      </c>
      <c r="AL2" s="654"/>
      <c r="AN2" s="140">
        <v>1.6</v>
      </c>
      <c r="AO2" s="140">
        <v>0.8</v>
      </c>
      <c r="AP2" s="335">
        <v>1</v>
      </c>
      <c r="AQ2" s="335">
        <v>3</v>
      </c>
      <c r="AR2" s="189">
        <v>1.5</v>
      </c>
      <c r="AS2" s="143">
        <v>3</v>
      </c>
      <c r="AT2" s="189">
        <v>5</v>
      </c>
      <c r="AU2" s="189">
        <v>1</v>
      </c>
      <c r="AV2" s="143">
        <v>10</v>
      </c>
      <c r="AW2" s="389" t="s">
        <v>283</v>
      </c>
      <c r="AX2" s="390" t="s">
        <v>284</v>
      </c>
      <c r="AY2" s="654"/>
    </row>
    <row r="3" spans="1:51" ht="17.25" thickBot="1">
      <c r="A3" s="183" t="s">
        <v>88</v>
      </c>
      <c r="B3" s="183" t="s">
        <v>89</v>
      </c>
      <c r="C3" s="332" t="s">
        <v>90</v>
      </c>
      <c r="D3" s="332" t="s">
        <v>91</v>
      </c>
      <c r="E3" s="183" t="s">
        <v>92</v>
      </c>
      <c r="F3" s="183" t="s">
        <v>93</v>
      </c>
      <c r="G3" s="332" t="s">
        <v>94</v>
      </c>
      <c r="H3" s="183" t="s">
        <v>187</v>
      </c>
      <c r="I3" s="332" t="s">
        <v>96</v>
      </c>
      <c r="J3" s="398"/>
      <c r="K3" s="399"/>
      <c r="L3" s="736"/>
      <c r="N3" s="183" t="s">
        <v>88</v>
      </c>
      <c r="O3" s="183" t="s">
        <v>89</v>
      </c>
      <c r="P3" s="332" t="s">
        <v>90</v>
      </c>
      <c r="Q3" s="332" t="s">
        <v>91</v>
      </c>
      <c r="R3" s="183" t="s">
        <v>92</v>
      </c>
      <c r="S3" s="183" t="s">
        <v>93</v>
      </c>
      <c r="T3" s="332" t="s">
        <v>94</v>
      </c>
      <c r="U3" s="183" t="s">
        <v>187</v>
      </c>
      <c r="V3" s="332" t="s">
        <v>96</v>
      </c>
      <c r="W3" s="398"/>
      <c r="X3" s="399"/>
      <c r="Y3" s="736"/>
      <c r="AA3" s="357" t="s">
        <v>88</v>
      </c>
      <c r="AB3" s="357" t="s">
        <v>89</v>
      </c>
      <c r="AC3" s="405" t="s">
        <v>90</v>
      </c>
      <c r="AD3" s="405" t="s">
        <v>91</v>
      </c>
      <c r="AE3" s="357" t="s">
        <v>92</v>
      </c>
      <c r="AF3" s="357" t="s">
        <v>93</v>
      </c>
      <c r="AG3" s="405" t="s">
        <v>94</v>
      </c>
      <c r="AH3" s="357" t="s">
        <v>187</v>
      </c>
      <c r="AI3" s="405" t="s">
        <v>96</v>
      </c>
      <c r="AJ3" s="398"/>
      <c r="AK3" s="399"/>
      <c r="AL3" s="654"/>
      <c r="AN3" s="357" t="s">
        <v>88</v>
      </c>
      <c r="AO3" s="357" t="s">
        <v>89</v>
      </c>
      <c r="AP3" s="405" t="s">
        <v>90</v>
      </c>
      <c r="AQ3" s="405" t="s">
        <v>91</v>
      </c>
      <c r="AR3" s="357" t="s">
        <v>92</v>
      </c>
      <c r="AS3" s="357" t="s">
        <v>93</v>
      </c>
      <c r="AT3" s="405" t="s">
        <v>94</v>
      </c>
      <c r="AU3" s="357" t="s">
        <v>187</v>
      </c>
      <c r="AV3" s="405" t="s">
        <v>96</v>
      </c>
      <c r="AW3" s="398"/>
      <c r="AX3" s="399"/>
      <c r="AY3" s="654"/>
    </row>
    <row r="4" spans="1:51" ht="21">
      <c r="A4" s="137" t="s">
        <v>154</v>
      </c>
      <c r="B4" s="308">
        <v>1.8</v>
      </c>
      <c r="C4" s="329">
        <v>1.8</v>
      </c>
      <c r="D4" s="329">
        <v>1.8</v>
      </c>
      <c r="E4" s="308">
        <v>1.8</v>
      </c>
      <c r="F4" s="311" t="s">
        <v>102</v>
      </c>
      <c r="G4" s="308" t="s">
        <v>98</v>
      </c>
      <c r="H4" s="309" t="s">
        <v>98</v>
      </c>
      <c r="I4" s="287" t="s">
        <v>98</v>
      </c>
      <c r="J4" s="369">
        <v>3</v>
      </c>
      <c r="K4" s="369">
        <v>18.899999999999999</v>
      </c>
      <c r="L4" s="247" t="s">
        <v>239</v>
      </c>
      <c r="N4" s="309" t="s">
        <v>98</v>
      </c>
      <c r="O4" s="309" t="s">
        <v>98</v>
      </c>
      <c r="P4" s="309" t="s">
        <v>98</v>
      </c>
      <c r="Q4" s="309" t="s">
        <v>98</v>
      </c>
      <c r="R4" s="309" t="s">
        <v>98</v>
      </c>
      <c r="S4" s="309" t="s">
        <v>98</v>
      </c>
      <c r="T4" s="347" t="s">
        <v>280</v>
      </c>
      <c r="U4" s="307">
        <v>6.5</v>
      </c>
      <c r="V4" s="309">
        <v>6.5</v>
      </c>
      <c r="W4" s="369">
        <v>6</v>
      </c>
      <c r="X4" s="541">
        <v>65.3</v>
      </c>
      <c r="Y4" s="373" t="s">
        <v>281</v>
      </c>
      <c r="AA4" s="406">
        <v>2</v>
      </c>
      <c r="AB4" s="406">
        <v>2</v>
      </c>
      <c r="AC4" s="406">
        <v>2</v>
      </c>
      <c r="AD4" s="406">
        <v>2</v>
      </c>
      <c r="AE4" s="406">
        <v>2</v>
      </c>
      <c r="AF4" s="406">
        <v>2</v>
      </c>
      <c r="AG4" s="309" t="s">
        <v>98</v>
      </c>
      <c r="AH4" s="406">
        <v>2</v>
      </c>
      <c r="AI4" s="406" t="s">
        <v>98</v>
      </c>
      <c r="AJ4" s="407">
        <v>2</v>
      </c>
      <c r="AK4" s="407">
        <v>29</v>
      </c>
      <c r="AL4" s="404" t="s">
        <v>286</v>
      </c>
      <c r="AN4" s="309" t="s">
        <v>98</v>
      </c>
      <c r="AO4" s="309" t="s">
        <v>98</v>
      </c>
      <c r="AP4" s="317" t="s">
        <v>98</v>
      </c>
      <c r="AQ4" s="309" t="s">
        <v>98</v>
      </c>
      <c r="AR4" s="309" t="s">
        <v>98</v>
      </c>
      <c r="AS4" s="309" t="s">
        <v>98</v>
      </c>
      <c r="AT4" s="309" t="s">
        <v>98</v>
      </c>
      <c r="AU4" s="308" t="s">
        <v>98</v>
      </c>
      <c r="AV4" s="408">
        <v>3.03</v>
      </c>
      <c r="AW4" s="409">
        <v>3</v>
      </c>
      <c r="AX4" s="410" t="s">
        <v>288</v>
      </c>
      <c r="AY4" s="411" t="s">
        <v>289</v>
      </c>
    </row>
    <row r="5" spans="1:51" ht="21">
      <c r="A5" s="137" t="s">
        <v>265</v>
      </c>
      <c r="B5" s="308">
        <v>1.5</v>
      </c>
      <c r="C5" s="329">
        <v>1.5</v>
      </c>
      <c r="D5" s="329">
        <v>1.5</v>
      </c>
      <c r="E5" s="308">
        <v>1.5</v>
      </c>
      <c r="F5" s="311" t="s">
        <v>266</v>
      </c>
      <c r="G5" s="308" t="s">
        <v>98</v>
      </c>
      <c r="H5" s="309" t="s">
        <v>98</v>
      </c>
      <c r="I5" s="287" t="s">
        <v>98</v>
      </c>
      <c r="J5" s="369">
        <v>2</v>
      </c>
      <c r="K5" s="369">
        <v>18.899999999999999</v>
      </c>
      <c r="L5" s="247" t="s">
        <v>267</v>
      </c>
      <c r="N5" s="309" t="s">
        <v>98</v>
      </c>
      <c r="O5" s="309" t="s">
        <v>98</v>
      </c>
      <c r="P5" s="309" t="s">
        <v>98</v>
      </c>
      <c r="Q5" s="309" t="s">
        <v>98</v>
      </c>
      <c r="R5" s="309" t="s">
        <v>98</v>
      </c>
      <c r="S5" s="309" t="s">
        <v>98</v>
      </c>
      <c r="T5" s="347" t="s">
        <v>252</v>
      </c>
      <c r="U5" s="307">
        <v>6.5</v>
      </c>
      <c r="V5" s="309">
        <v>3.5</v>
      </c>
      <c r="W5" s="369">
        <v>3</v>
      </c>
      <c r="X5" s="369">
        <f t="shared" ref="X5:X10" si="0">X4</f>
        <v>65.3</v>
      </c>
      <c r="Y5" s="373" t="s">
        <v>251</v>
      </c>
      <c r="AA5" s="406">
        <v>1.5</v>
      </c>
      <c r="AB5" s="406">
        <v>1.5</v>
      </c>
      <c r="AC5" s="406">
        <v>1.5</v>
      </c>
      <c r="AD5" s="406">
        <v>1.5</v>
      </c>
      <c r="AE5" s="406">
        <v>1.5</v>
      </c>
      <c r="AF5" s="406">
        <v>1.5</v>
      </c>
      <c r="AG5" s="309" t="s">
        <v>98</v>
      </c>
      <c r="AH5" s="406">
        <v>1.5</v>
      </c>
      <c r="AI5" s="406" t="s">
        <v>98</v>
      </c>
      <c r="AJ5" s="407">
        <v>1.5</v>
      </c>
      <c r="AK5" s="407">
        <v>29</v>
      </c>
      <c r="AL5" s="404" t="s">
        <v>287</v>
      </c>
      <c r="AN5" s="309" t="s">
        <v>98</v>
      </c>
      <c r="AO5" s="309" t="s">
        <v>98</v>
      </c>
      <c r="AP5" s="309" t="s">
        <v>98</v>
      </c>
      <c r="AQ5" s="412">
        <v>3.03</v>
      </c>
      <c r="AR5" s="412">
        <v>3.03</v>
      </c>
      <c r="AS5" s="412">
        <v>3.03</v>
      </c>
      <c r="AT5" s="412">
        <v>3.03</v>
      </c>
      <c r="AU5" s="309" t="s">
        <v>98</v>
      </c>
      <c r="AV5" s="412">
        <v>3.03</v>
      </c>
      <c r="AW5" s="409">
        <v>3</v>
      </c>
      <c r="AX5" s="410" t="s">
        <v>288</v>
      </c>
      <c r="AY5" s="411" t="s">
        <v>290</v>
      </c>
    </row>
    <row r="6" spans="1:51">
      <c r="A6" s="137" t="s">
        <v>263</v>
      </c>
      <c r="B6" s="308">
        <v>0.6</v>
      </c>
      <c r="C6" s="329">
        <v>0.6</v>
      </c>
      <c r="D6" s="329">
        <v>0.6</v>
      </c>
      <c r="E6" s="309" t="s">
        <v>98</v>
      </c>
      <c r="F6" s="309" t="s">
        <v>98</v>
      </c>
      <c r="G6" s="309" t="s">
        <v>98</v>
      </c>
      <c r="H6" s="309" t="s">
        <v>98</v>
      </c>
      <c r="I6" s="287" t="s">
        <v>98</v>
      </c>
      <c r="J6" s="369">
        <v>1</v>
      </c>
      <c r="K6" s="369">
        <v>18.899999999999999</v>
      </c>
      <c r="L6" s="247" t="s">
        <v>264</v>
      </c>
      <c r="N6" s="309" t="s">
        <v>98</v>
      </c>
      <c r="O6" s="309" t="s">
        <v>98</v>
      </c>
      <c r="P6" s="309" t="s">
        <v>98</v>
      </c>
      <c r="Q6" s="309" t="s">
        <v>98</v>
      </c>
      <c r="R6" s="309" t="s">
        <v>98</v>
      </c>
      <c r="S6" s="309" t="s">
        <v>98</v>
      </c>
      <c r="T6" s="347" t="s">
        <v>274</v>
      </c>
      <c r="U6" s="307">
        <v>6.5</v>
      </c>
      <c r="V6" s="309">
        <v>2.5</v>
      </c>
      <c r="W6" s="369">
        <v>2</v>
      </c>
      <c r="X6" s="369">
        <f t="shared" si="0"/>
        <v>65.3</v>
      </c>
      <c r="Y6" s="373" t="s">
        <v>278</v>
      </c>
    </row>
    <row r="7" spans="1:51">
      <c r="A7" s="137" t="s">
        <v>277</v>
      </c>
      <c r="B7" s="308">
        <v>0.3</v>
      </c>
      <c r="C7" s="329">
        <v>0.3</v>
      </c>
      <c r="D7" s="329">
        <v>0.3</v>
      </c>
      <c r="E7" s="309" t="s">
        <v>98</v>
      </c>
      <c r="F7" s="309" t="s">
        <v>98</v>
      </c>
      <c r="G7" s="309" t="s">
        <v>98</v>
      </c>
      <c r="H7" s="309" t="s">
        <v>98</v>
      </c>
      <c r="I7" s="287" t="s">
        <v>98</v>
      </c>
      <c r="J7" s="369">
        <v>0.5</v>
      </c>
      <c r="K7" s="369">
        <v>18.899999999999999</v>
      </c>
      <c r="L7" s="247" t="s">
        <v>276</v>
      </c>
      <c r="N7" s="309" t="s">
        <v>98</v>
      </c>
      <c r="O7" s="309" t="s">
        <v>98</v>
      </c>
      <c r="P7" s="309" t="s">
        <v>98</v>
      </c>
      <c r="Q7" s="309" t="s">
        <v>98</v>
      </c>
      <c r="R7" s="309" t="s">
        <v>98</v>
      </c>
      <c r="S7" s="309" t="s">
        <v>98</v>
      </c>
      <c r="T7" s="347" t="s">
        <v>280</v>
      </c>
      <c r="U7" s="307">
        <v>6.5</v>
      </c>
      <c r="V7" s="309" t="s">
        <v>98</v>
      </c>
      <c r="W7" s="369">
        <v>6</v>
      </c>
      <c r="X7" s="369">
        <f t="shared" si="0"/>
        <v>65.3</v>
      </c>
      <c r="Y7" s="373" t="s">
        <v>279</v>
      </c>
    </row>
    <row r="8" spans="1:51" ht="21">
      <c r="A8" s="311" t="s">
        <v>259</v>
      </c>
      <c r="B8" s="308">
        <v>1.8</v>
      </c>
      <c r="C8" s="329">
        <v>1.8</v>
      </c>
      <c r="D8" s="329">
        <v>1.8</v>
      </c>
      <c r="E8" s="308">
        <v>1.8</v>
      </c>
      <c r="F8" s="311" t="s">
        <v>102</v>
      </c>
      <c r="G8" s="309" t="s">
        <v>98</v>
      </c>
      <c r="H8" s="309" t="s">
        <v>98</v>
      </c>
      <c r="I8" s="287" t="s">
        <v>98</v>
      </c>
      <c r="J8" s="369">
        <v>3</v>
      </c>
      <c r="K8" s="369">
        <v>18.899999999999999</v>
      </c>
      <c r="L8" s="290" t="s">
        <v>260</v>
      </c>
      <c r="N8" s="309" t="s">
        <v>98</v>
      </c>
      <c r="O8" s="309" t="s">
        <v>98</v>
      </c>
      <c r="P8" s="309" t="s">
        <v>98</v>
      </c>
      <c r="Q8" s="309" t="s">
        <v>98</v>
      </c>
      <c r="R8" s="309" t="s">
        <v>98</v>
      </c>
      <c r="S8" s="309" t="s">
        <v>98</v>
      </c>
      <c r="T8" s="347" t="s">
        <v>252</v>
      </c>
      <c r="U8" s="307">
        <v>6.5</v>
      </c>
      <c r="V8" s="309" t="s">
        <v>98</v>
      </c>
      <c r="W8" s="369">
        <v>3</v>
      </c>
      <c r="X8" s="369">
        <f t="shared" si="0"/>
        <v>65.3</v>
      </c>
      <c r="Y8" s="373" t="s">
        <v>268</v>
      </c>
    </row>
    <row r="9" spans="1:51" ht="21">
      <c r="A9" s="311" t="s">
        <v>271</v>
      </c>
      <c r="B9" s="308">
        <v>1.5</v>
      </c>
      <c r="C9" s="329">
        <v>1.5</v>
      </c>
      <c r="D9" s="329">
        <v>1.5</v>
      </c>
      <c r="E9" s="308">
        <v>1.5</v>
      </c>
      <c r="F9" s="311" t="s">
        <v>266</v>
      </c>
      <c r="G9" s="308" t="s">
        <v>98</v>
      </c>
      <c r="H9" s="309" t="s">
        <v>98</v>
      </c>
      <c r="I9" s="287" t="s">
        <v>98</v>
      </c>
      <c r="J9" s="369">
        <v>2</v>
      </c>
      <c r="K9" s="369">
        <v>18.899999999999999</v>
      </c>
      <c r="L9" s="290" t="s">
        <v>270</v>
      </c>
      <c r="N9" s="309" t="s">
        <v>98</v>
      </c>
      <c r="O9" s="309" t="s">
        <v>98</v>
      </c>
      <c r="P9" s="309" t="s">
        <v>98</v>
      </c>
      <c r="Q9" s="309" t="s">
        <v>98</v>
      </c>
      <c r="R9" s="309" t="s">
        <v>98</v>
      </c>
      <c r="S9" s="309" t="s">
        <v>98</v>
      </c>
      <c r="T9" s="347" t="s">
        <v>274</v>
      </c>
      <c r="U9" s="307">
        <v>6.5</v>
      </c>
      <c r="V9" s="309" t="s">
        <v>98</v>
      </c>
      <c r="W9" s="369">
        <v>2</v>
      </c>
      <c r="X9" s="369">
        <f t="shared" si="0"/>
        <v>65.3</v>
      </c>
      <c r="Y9" s="373" t="s">
        <v>273</v>
      </c>
    </row>
    <row r="10" spans="1:51">
      <c r="A10" s="137"/>
      <c r="B10" s="308"/>
      <c r="C10" s="329"/>
      <c r="D10" s="329"/>
      <c r="E10" s="309"/>
      <c r="F10" s="309"/>
      <c r="G10" s="309"/>
      <c r="H10" s="309"/>
      <c r="I10" s="287"/>
      <c r="J10" s="383"/>
      <c r="K10" s="383"/>
      <c r="L10" s="290"/>
      <c r="N10" s="309" t="s">
        <v>98</v>
      </c>
      <c r="O10" s="309" t="s">
        <v>98</v>
      </c>
      <c r="P10" s="309" t="s">
        <v>98</v>
      </c>
      <c r="Q10" s="309" t="s">
        <v>98</v>
      </c>
      <c r="R10" s="309" t="s">
        <v>98</v>
      </c>
      <c r="S10" s="309" t="s">
        <v>98</v>
      </c>
      <c r="T10" s="347">
        <v>0.8</v>
      </c>
      <c r="U10" s="307">
        <v>6.5</v>
      </c>
      <c r="V10" s="309" t="s">
        <v>98</v>
      </c>
      <c r="W10" s="369">
        <v>0.8</v>
      </c>
      <c r="X10" s="369">
        <f t="shared" si="0"/>
        <v>65.3</v>
      </c>
      <c r="Y10" s="373" t="s">
        <v>272</v>
      </c>
    </row>
    <row r="11" spans="1:51">
      <c r="A11" s="137"/>
      <c r="B11" s="308"/>
      <c r="C11" s="329"/>
      <c r="D11" s="329"/>
      <c r="E11" s="309"/>
      <c r="F11" s="309"/>
      <c r="G11" s="309"/>
      <c r="H11" s="309"/>
      <c r="I11" s="287"/>
      <c r="J11" s="383"/>
      <c r="K11" s="383"/>
      <c r="L11" s="290"/>
      <c r="N11" s="346"/>
      <c r="O11" s="346"/>
      <c r="P11" s="346"/>
      <c r="Q11" s="346"/>
      <c r="R11" s="346"/>
      <c r="S11" s="346"/>
      <c r="T11" s="346"/>
      <c r="U11" s="346"/>
      <c r="V11" s="346"/>
      <c r="W11" s="369" t="s">
        <v>98</v>
      </c>
      <c r="X11" s="369" t="s">
        <v>98</v>
      </c>
      <c r="Y11" s="403" t="s">
        <v>285</v>
      </c>
    </row>
    <row r="12" spans="1:51">
      <c r="A12" s="346"/>
      <c r="B12" s="346"/>
      <c r="C12" s="346"/>
      <c r="D12" s="346"/>
      <c r="E12" s="346"/>
      <c r="F12" s="346"/>
      <c r="G12" s="346"/>
      <c r="H12" s="346"/>
      <c r="I12" s="346"/>
      <c r="J12" s="346"/>
      <c r="K12" s="346"/>
      <c r="L12" s="346"/>
      <c r="N12" s="346"/>
      <c r="O12" s="346"/>
      <c r="P12" s="346"/>
      <c r="Q12" s="346"/>
      <c r="R12" s="346"/>
      <c r="S12" s="346"/>
      <c r="T12" s="346"/>
      <c r="U12" s="346"/>
      <c r="V12" s="346"/>
      <c r="W12" s="346"/>
      <c r="X12" s="346"/>
      <c r="Y12" s="346"/>
    </row>
    <row r="13" spans="1:51">
      <c r="A13" s="346"/>
      <c r="B13" s="346"/>
      <c r="C13" s="346"/>
      <c r="D13" s="346"/>
      <c r="E13" s="346"/>
      <c r="F13" s="346"/>
      <c r="G13" s="346"/>
      <c r="H13" s="346"/>
      <c r="I13" s="346"/>
      <c r="J13" s="346"/>
      <c r="K13" s="346"/>
      <c r="L13" s="346"/>
    </row>
  </sheetData>
  <mergeCells count="4">
    <mergeCell ref="L1:L3"/>
    <mergeCell ref="Y1:Y3"/>
    <mergeCell ref="AL1:AL3"/>
    <mergeCell ref="AY1:AY3"/>
  </mergeCells>
  <phoneticPr fontId="1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具名範圍</vt:lpstr>
      </vt:variant>
      <vt:variant>
        <vt:i4>3</vt:i4>
      </vt:variant>
    </vt:vector>
  </HeadingPairs>
  <TitlesOfParts>
    <vt:vector size="11" baseType="lpstr">
      <vt:lpstr>表頭</vt:lpstr>
      <vt:lpstr>top-nc</vt:lpstr>
      <vt:lpstr>bot-nc</vt:lpstr>
      <vt:lpstr>bom表</vt:lpstr>
      <vt:lpstr>委外單</vt:lpstr>
      <vt:lpstr>LIST</vt:lpstr>
      <vt:lpstr>40-3.5-20L</vt:lpstr>
      <vt:lpstr>70-30L</vt:lpstr>
      <vt:lpstr>'bot-nc'!Print_Area</vt:lpstr>
      <vt:lpstr>'top-nc'!Print_Area</vt:lpstr>
      <vt:lpstr>表頭!Print_Titles</vt:lpstr>
    </vt:vector>
  </TitlesOfParts>
  <Company>Net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c:creator>
  <cp:lastModifiedBy>user</cp:lastModifiedBy>
  <cp:lastPrinted>2026-01-05T09:20:09Z</cp:lastPrinted>
  <dcterms:created xsi:type="dcterms:W3CDTF">2005-04-29T05:01:32Z</dcterms:created>
  <dcterms:modified xsi:type="dcterms:W3CDTF">2026-01-05T09:20:26Z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410943030</vt:i4>
  </property>
  <property fmtid="{D5CDD505-2E9C-101B-9397-08002B2CF9AE}" pid="3" name="_EmailSubject">
    <vt:lpwstr/>
  </property>
  <property fmtid="{D5CDD505-2E9C-101B-9397-08002B2CF9AE}" pid="4" name="_AuthorEmail">
    <vt:lpwstr>h2373@ms59.hinet.net</vt:lpwstr>
  </property>
  <property fmtid="{D5CDD505-2E9C-101B-9397-08002B2CF9AE}" pid="5" name="_AuthorEmailDisplayName">
    <vt:lpwstr>Mike Liu</vt:lpwstr>
  </property>
  <property fmtid="{D5CDD505-2E9C-101B-9397-08002B2CF9AE}" pid="6" name="_ReviewingToolsShownOnce">
    <vt:lpwstr/>
  </property>
</Properties>
</file>